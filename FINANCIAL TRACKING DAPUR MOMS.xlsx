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 VIVOBOOK\Documents\"/>
    </mc:Choice>
  </mc:AlternateContent>
  <xr:revisionPtr revIDLastSave="0" documentId="8_{F5556B06-065A-4388-84C1-11C75583C5C4}" xr6:coauthVersionLast="47" xr6:coauthVersionMax="47" xr10:uidLastSave="{00000000-0000-0000-0000-000000000000}"/>
  <bookViews>
    <workbookView xWindow="-110" yWindow="-110" windowWidth="19420" windowHeight="10300" tabRatio="996" firstSheet="6" activeTab="8" xr2:uid="{00000000-000D-0000-FFFF-FFFF00000000}"/>
  </bookViews>
  <sheets>
    <sheet name="🏠 BERANDA" sheetId="1" r:id="rId1"/>
    <sheet name="📦 Pesanan" sheetId="2" r:id="rId2"/>
    <sheet name="🛒 Belanja Bahan" sheetId="3" r:id="rId3"/>
    <sheet name="💸 Biaya Lain" sheetId="4" r:id="rId4"/>
    <sheet name="💰 Laporan" sheetId="5" r:id="rId5"/>
    <sheet name="🍱 HPP Per Menu" sheetId="6" r:id="rId6"/>
    <sheet name="📊 Grafik" sheetId="7" r:id="rId7"/>
    <sheet name="📒 Jurnal Umum" sheetId="8" r:id="rId8"/>
    <sheet name="📋 Laporan Keuangan" sheetId="9" r:id="rId9"/>
    <sheet name="📅 Rekap Bulanan" sheetId="10" r:id="rId10"/>
    <sheet name="💳 Hutang &amp; Piutang" sheetId="11" r:id="rId11"/>
    <sheet name="Lembar1" sheetId="14" state="hidden" r:id="rId12"/>
    <sheet name="🍽️ Daftar Menu" sheetId="12" state="hidden" r:id="rId13"/>
    <sheet name="🧮 Kalkulator Harga" sheetId="13" state="hidden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10" l="1"/>
  <c r="D10" i="9"/>
  <c r="B5" i="7"/>
  <c r="E29" i="6"/>
  <c r="F18" i="6"/>
  <c r="F17" i="6"/>
  <c r="F8" i="6"/>
  <c r="F9" i="6"/>
  <c r="F10" i="6"/>
  <c r="F12" i="6"/>
  <c r="F13" i="6"/>
  <c r="F6" i="6"/>
  <c r="D3" i="2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8" i="3"/>
  <c r="B50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C22" i="13"/>
  <c r="C16" i="13"/>
  <c r="E34" i="11"/>
  <c r="E18" i="11"/>
  <c r="H16" i="10"/>
  <c r="F16" i="10"/>
  <c r="H15" i="10"/>
  <c r="F15" i="10"/>
  <c r="H14" i="10"/>
  <c r="F14" i="10"/>
  <c r="H13" i="10"/>
  <c r="F13" i="10"/>
  <c r="H12" i="10"/>
  <c r="F12" i="10"/>
  <c r="H11" i="10"/>
  <c r="F11" i="10"/>
  <c r="H10" i="10"/>
  <c r="F10" i="10"/>
  <c r="H9" i="10"/>
  <c r="F9" i="10"/>
  <c r="H8" i="10"/>
  <c r="F8" i="10"/>
  <c r="H7" i="10"/>
  <c r="F7" i="10"/>
  <c r="H6" i="10"/>
  <c r="F6" i="10"/>
  <c r="D25" i="9"/>
  <c r="H59" i="8"/>
  <c r="G59" i="8"/>
  <c r="D3" i="4"/>
  <c r="H8" i="2"/>
  <c r="D22" i="1"/>
  <c r="D5" i="5" l="1"/>
  <c r="E3" i="3"/>
  <c r="B51" i="2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C24" i="13"/>
  <c r="G16" i="10"/>
  <c r="I16" i="10" s="1"/>
  <c r="G15" i="10"/>
  <c r="I15" i="10" s="1"/>
  <c r="G13" i="10"/>
  <c r="I13" i="10" s="1"/>
  <c r="G10" i="10"/>
  <c r="I10" i="10" s="1"/>
  <c r="G7" i="10"/>
  <c r="I7" i="10" s="1"/>
  <c r="E5" i="10"/>
  <c r="E17" i="10" s="1"/>
  <c r="D51" i="9"/>
  <c r="D14" i="5"/>
  <c r="D15" i="5" s="1"/>
  <c r="G14" i="10"/>
  <c r="I14" i="10" s="1"/>
  <c r="G12" i="10"/>
  <c r="I12" i="10" s="1"/>
  <c r="G11" i="10"/>
  <c r="I11" i="10" s="1"/>
  <c r="G9" i="10"/>
  <c r="I9" i="10" s="1"/>
  <c r="G8" i="10"/>
  <c r="I8" i="10" s="1"/>
  <c r="G6" i="10"/>
  <c r="I6" i="10" s="1"/>
  <c r="D43" i="9"/>
  <c r="D16" i="9"/>
  <c r="B7" i="7"/>
  <c r="E31" i="6"/>
  <c r="F14" i="6"/>
  <c r="D19" i="5"/>
  <c r="D21" i="1" l="1"/>
  <c r="D15" i="9"/>
  <c r="B6" i="7"/>
  <c r="D10" i="5"/>
  <c r="D11" i="5" s="1"/>
  <c r="D18" i="5" s="1"/>
  <c r="D20" i="5" s="1"/>
  <c r="D24" i="5" s="1"/>
  <c r="D5" i="10"/>
  <c r="D23" i="1"/>
  <c r="B70" i="2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C30" i="13"/>
  <c r="C32" i="13" s="1"/>
  <c r="C31" i="13"/>
  <c r="D7" i="5"/>
  <c r="D12" i="9"/>
  <c r="D20" i="1"/>
  <c r="D17" i="9" l="1"/>
  <c r="F5" i="10"/>
  <c r="F17" i="10" s="1"/>
  <c r="D24" i="1"/>
  <c r="D17" i="10"/>
  <c r="C33" i="13"/>
  <c r="C34" i="13"/>
  <c r="D23" i="5"/>
  <c r="D25" i="5" s="1"/>
  <c r="C17" i="10"/>
  <c r="D19" i="9" l="1"/>
  <c r="D27" i="9" s="1"/>
  <c r="D29" i="9" s="1"/>
  <c r="D42" i="9"/>
  <c r="D46" i="9" s="1"/>
  <c r="G5" i="10"/>
  <c r="D27" i="5"/>
  <c r="B32" i="5"/>
  <c r="B8" i="7"/>
  <c r="H5" i="10"/>
  <c r="D32" i="9" l="1"/>
  <c r="D36" i="9"/>
  <c r="D38" i="9" s="1"/>
  <c r="D54" i="9" s="1"/>
  <c r="D55" i="9" s="1"/>
  <c r="D57" i="9" s="1"/>
  <c r="D31" i="9"/>
  <c r="G17" i="10"/>
  <c r="I5" i="10"/>
  <c r="H17" i="10"/>
  <c r="I17" i="10"/>
  <c r="B59" i="9" l="1"/>
</calcChain>
</file>

<file path=xl/sharedStrings.xml><?xml version="1.0" encoding="utf-8"?>
<sst xmlns="http://schemas.openxmlformats.org/spreadsheetml/2006/main" count="617" uniqueCount="420">
  <si>
    <t>🍰  BUKU KEUANGAN USAHA CATERING &amp; KUE</t>
  </si>
  <si>
    <t>✨ Catat Pesanan · Hitung Untung · Kelola Keuangan dengan Mudah ✨</t>
  </si>
  <si>
    <t>🏪 Nama Usaha :</t>
  </si>
  <si>
    <t>Catering &amp; Kue Bu Sari</t>
  </si>
  <si>
    <t>👩 Nama Pemilik :</t>
  </si>
  <si>
    <t>Bu Sari</t>
  </si>
  <si>
    <t>📅 Tahun :</t>
  </si>
  <si>
    <t>2025</t>
  </si>
  <si>
    <t>📋  CARA PAKAI — CUKUP ISI DI SINI!</t>
  </si>
  <si>
    <t>1️⃣</t>
  </si>
  <si>
    <t>CATAT PESANAN</t>
  </si>
  <si>
    <t>Buka sheet '📦 Pesanan' → isi nama pemesan, menu, harga. Otomatis terhitung!</t>
  </si>
  <si>
    <t>2️⃣</t>
  </si>
  <si>
    <t>CATAT BELANJA</t>
  </si>
  <si>
    <t>Buka sheet '🛒 Belanja Bahan' → tulis semua bahan yang dibeli hari ini</t>
  </si>
  <si>
    <t>3️⃣</t>
  </si>
  <si>
    <t>CATAT BIAYA</t>
  </si>
  <si>
    <t>Buka sheet '💸 Biaya Lain' → gas, listrik, plastik kemasan, dll</t>
  </si>
  <si>
    <t>4️⃣</t>
  </si>
  <si>
    <t>CEK UNTUNG</t>
  </si>
  <si>
    <t>Buka sheet '💰 Laporan' → otomatis keluar berapa untung bulan ini!</t>
  </si>
  <si>
    <t>5️⃣</t>
  </si>
  <si>
    <t>LIHAT GRAFIK</t>
  </si>
  <si>
    <t>Buka sheet '📊 Grafik' → lihat perkembangan usaha dalam bentuk gambar</t>
  </si>
  <si>
    <t>💡  RINGKASAN KEUANGAN — OTOMATIS TERHITUNG!</t>
  </si>
  <si>
    <t>KETERANGAN</t>
  </si>
  <si>
    <t>JUMLAH (Rp)</t>
  </si>
  <si>
    <t>💰 TOTAL UANG MASUK (Pesanan)</t>
  </si>
  <si>
    <t>🛒 TOTAL BELANJA BAHAN</t>
  </si>
  <si>
    <t>💸 TOTAL BIAYA LAIN-LAIN</t>
  </si>
  <si>
    <t>📦 TOTAL BIAYA (Bahan + Biaya)</t>
  </si>
  <si>
    <t>🎉 KEUNTUNGAN BERSIH</t>
  </si>
  <si>
    <t>📦  CATATAN PESANAN &amp; UANG MASUK</t>
  </si>
  <si>
    <t>💡 Isi kolom kuning. Kolom lain sudah otomatis terhitung. Jangan ubah kolom berwarna selain kuning!</t>
  </si>
  <si>
    <t>📊 TOTAL UANG MASUK BULAN INI:</t>
  </si>
  <si>
    <t>🟡 Kolom Kuning = Isi sendiri   |   ⬜ Kolom Putih/Hijau = Otomatis   |   ✅ Status: LUNAS / BELUM BAYAR</t>
  </si>
  <si>
    <t>NO</t>
  </si>
  <si>
    <t>TANGGAL</t>
  </si>
  <si>
    <t>NAMA PEMESAN</t>
  </si>
  <si>
    <t>NAMA MENU / PESANAN</t>
  </si>
  <si>
    <t>JUMLAH
(porsi/pcs)</t>
  </si>
  <si>
    <t>HARGA
SATUAN (Rp)</t>
  </si>
  <si>
    <t>TOTAL
(Rp)</t>
  </si>
  <si>
    <t>CATATAN</t>
  </si>
  <si>
    <t>2025-01-05</t>
  </si>
  <si>
    <t>Bu Rina</t>
  </si>
  <si>
    <t>Nasi Box Ayam Bakar</t>
  </si>
  <si>
    <t>2025-01-08</t>
  </si>
  <si>
    <t>Pak Dodi</t>
  </si>
  <si>
    <t>Tumpeng Mini</t>
  </si>
  <si>
    <t>⏳ BELUM BAYAR</t>
  </si>
  <si>
    <t>2025-01-10</t>
  </si>
  <si>
    <t>Bu Hesti</t>
  </si>
  <si>
    <t>Kue Ulang Tahun</t>
  </si>
  <si>
    <t>2025-01-12</t>
  </si>
  <si>
    <t>Bu Dewi</t>
  </si>
  <si>
    <t>Snack Box Arisan</t>
  </si>
  <si>
    <t>2025-01-15</t>
  </si>
  <si>
    <t>Bu Lestari</t>
  </si>
  <si>
    <t>Nasi Kotak Catering</t>
  </si>
  <si>
    <t>2025-01-18</t>
  </si>
  <si>
    <t>Pak Agus</t>
  </si>
  <si>
    <t>Kue Kering Lebaran</t>
  </si>
  <si>
    <t>2025-01-20</t>
  </si>
  <si>
    <t>Bu Yanti</t>
  </si>
  <si>
    <t>Puding Cokelat</t>
  </si>
  <si>
    <t>🛒  CATATAN BELANJA BAHAN BAKU</t>
  </si>
  <si>
    <t>💡 Catat semua belanja bahan di sini: tepung, gula, ayam, bumbu, dll</t>
  </si>
  <si>
    <t>🛒 TOTAL BELANJA BAHAN BULAN INI:</t>
  </si>
  <si>
    <t>📌 Tips: Catat belanja setiap hari agar terlihat berapa besar biaya bahan per bulan</t>
  </si>
  <si>
    <t>NAMA BAHAN / BARANG</t>
  </si>
  <si>
    <t>TOKO / TEMPAT BELI</t>
  </si>
  <si>
    <t>JUMLAH
(kg/pcs/ltr)</t>
  </si>
  <si>
    <t>2025-01-03</t>
  </si>
  <si>
    <t>Tepung Terigu</t>
  </si>
  <si>
    <t>Toko Sumber Makmur</t>
  </si>
  <si>
    <t>Gula Pasir</t>
  </si>
  <si>
    <t>Mentega</t>
  </si>
  <si>
    <t>Ayam Kampung</t>
  </si>
  <si>
    <t>Pasar Terdekat</t>
  </si>
  <si>
    <t>Telur Ayam</t>
  </si>
  <si>
    <t>Santan Kelapa</t>
  </si>
  <si>
    <t>Bumbu Rendang</t>
  </si>
  <si>
    <t>Toko Bumbu Bu Yem</t>
  </si>
  <si>
    <t>Cokelat Bubuk</t>
  </si>
  <si>
    <t>Beras</t>
  </si>
  <si>
    <t>💸  BIAYA OPERASIONAL &amp; LAIN-LAIN</t>
  </si>
  <si>
    <t>💡 Gas, listrik, plastik kemasan, ongkir, dll — catat semua di sini</t>
  </si>
  <si>
    <t>💸 TOTAL BIAYA LAIN BULAN INI:</t>
  </si>
  <si>
    <t>📌 Contoh: Gas LPG, Listrik, Air, Plastik Kemasan, Kotak Kue, Label, Ongkos Kirim, dll</t>
  </si>
  <si>
    <t>KETERANGAN BIAYA</t>
  </si>
  <si>
    <t>KATEGORI</t>
  </si>
  <si>
    <t>2025-01-01</t>
  </si>
  <si>
    <t>Gas LPG 12 kg</t>
  </si>
  <si>
    <t>Bahan Bakar</t>
  </si>
  <si>
    <t>Plastik Kemasan</t>
  </si>
  <si>
    <t>Kemasan</t>
  </si>
  <si>
    <t>Kotak Kue</t>
  </si>
  <si>
    <t>Ongkos Kirim Pesanan</t>
  </si>
  <si>
    <t>Pengiriman</t>
  </si>
  <si>
    <t>Label Stiker</t>
  </si>
  <si>
    <t>Listrik (perkiraan)</t>
  </si>
  <si>
    <t>Listrik &amp; Air</t>
  </si>
  <si>
    <t>2025-01-25</t>
  </si>
  <si>
    <t>Tusuk Gigi &amp; Sendok</t>
  </si>
  <si>
    <t>Perlengkapan</t>
  </si>
  <si>
    <t>💰  LAPORAN KEUANGAN BULANAN</t>
  </si>
  <si>
    <t>✨ Semua angka otomatis dari data yang kamu isi — tidak perlu hitung manual!</t>
  </si>
  <si>
    <t>💰  A. UANG MASUK (PENDAPATAN)</t>
  </si>
  <si>
    <t xml:space="preserve">   ➤ Total Hasil Pesanan / Penjualan</t>
  </si>
  <si>
    <t xml:space="preserve">   ➤ Pendapatan Lain-lain (isi manual)</t>
  </si>
  <si>
    <t xml:space="preserve">   📌 TOTAL UANG MASUK</t>
  </si>
  <si>
    <t>🛒  B. BIAYA BAHAN BAKU</t>
  </si>
  <si>
    <t xml:space="preserve">   ➤ Total Belanja Bahan</t>
  </si>
  <si>
    <t xml:space="preserve">   📌 TOTAL BIAYA BAHAN</t>
  </si>
  <si>
    <t>💸  C. BIAYA OPERASIONAL LAIN</t>
  </si>
  <si>
    <t xml:space="preserve">   ➤ Total Biaya Lain-lain</t>
  </si>
  <si>
    <t xml:space="preserve">   📌 TOTAL BIAYA OPERASIONAL</t>
  </si>
  <si>
    <t>📊  D. PERHITUNGAN HPP</t>
  </si>
  <si>
    <t xml:space="preserve">   ➤ Total Biaya Bahan Baku</t>
  </si>
  <si>
    <t xml:space="preserve">   ➤ Total Biaya Operasional</t>
  </si>
  <si>
    <t xml:space="preserve">   📌 TOTAL HPP (Harga Pokok Penjualan)</t>
  </si>
  <si>
    <t>🎉  E. KEUNTUNGAN</t>
  </si>
  <si>
    <t xml:space="preserve">   ➤ Total Uang Masuk</t>
  </si>
  <si>
    <t xml:space="preserve">   ➤ Total HPP</t>
  </si>
  <si>
    <t xml:space="preserve">   🎊 KEUNTUNGAN BERSIH</t>
  </si>
  <si>
    <t>📈  MARGIN KEUNTUNGAN (%)</t>
  </si>
  <si>
    <t xml:space="preserve">   (Idealnya minimal 30% dari total penjualan)</t>
  </si>
  <si>
    <t>💡 ANALISIS &amp; SARAN OTOMATIS</t>
  </si>
  <si>
    <t>🍱  HITUNG HARGA POKOK PER MENU</t>
  </si>
  <si>
    <t>💡 Bantu kamu tahu berapa harga MINIMAL jual agar tidak rugi!</t>
  </si>
  <si>
    <t>BAHAN</t>
  </si>
  <si>
    <t>SATUAN</t>
  </si>
  <si>
    <t>QTY</t>
  </si>
  <si>
    <t>HARGA SATUAN</t>
  </si>
  <si>
    <t>gr</t>
  </si>
  <si>
    <t>Minyak Goreng</t>
  </si>
  <si>
    <t>ml</t>
  </si>
  <si>
    <t>pcs</t>
  </si>
  <si>
    <t>📌 TOTAL HPP (Harga Pokok Per Porsi)</t>
  </si>
  <si>
    <t>💰 Harga Jual Sekarang</t>
  </si>
  <si>
    <t>🎉 Untung Per Porsi</t>
  </si>
  <si>
    <t>🍽️  KUE ULANG TAHUN (1 loyang)</t>
  </si>
  <si>
    <t>Telur</t>
  </si>
  <si>
    <t>butir</t>
  </si>
  <si>
    <t>Keju Parut</t>
  </si>
  <si>
    <t>📊  GRAFIK KEUANGAN USAHA</t>
  </si>
  <si>
    <t>Otomatis dari data pesanan &amp; pengeluaran</t>
  </si>
  <si>
    <t>Uang Masuk</t>
  </si>
  <si>
    <t>Biaya Bahan</t>
  </si>
  <si>
    <t>Biaya Lain</t>
  </si>
  <si>
    <t>Keuntungan</t>
  </si>
  <si>
    <t>BULAN</t>
  </si>
  <si>
    <t>UANG MASUK</t>
  </si>
  <si>
    <t>TOTAL BIAYA</t>
  </si>
  <si>
    <t>KEUNTUNGAN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</si>
  <si>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</si>
  <si>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</si>
  <si>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</si>
  <si>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</si>
  <si>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</si>
  <si>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</si>
  <si>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</si>
  <si>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</si>
  <si>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</si>
  <si>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</si>
  <si>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</si>
  <si>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</si>
  <si>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📒  JURNAL UMUM — CATERING &amp; KUE</t>
  </si>
  <si>
    <t>💡 Jurnal Umum mencatat SETIAP transaksi keuangan usaha: uang masuk, belanja, bayar listrik, dll</t>
  </si>
  <si>
    <t>🏪 Nama Usaha:</t>
  </si>
  <si>
    <t>📅 Periode:</t>
  </si>
  <si>
    <t>Januari 2025</t>
  </si>
  <si>
    <t>🟢 Uang Masuk (Debit Kas)   |   🔴 Belanja/Bayar (Kredit Kas)   |   🟡 Kolom Kuning = Isi Sendiri   |   ✅ Balance = Debit = Kredit</t>
  </si>
  <si>
    <t>NO.</t>
  </si>
  <si>
    <t>AKUN / KETERANGAN</t>
  </si>
  <si>
    <t>NAMA TRANSAKSI (Apa yang Terjadi)</t>
  </si>
  <si>
    <t>REF
(Kode)</t>
  </si>
  <si>
    <t>KAS (Uang Tunai Masuk)</t>
  </si>
  <si>
    <t>Terima bayaran pesanan nasi box ayam bakar 50 porsi - Bu Rina</t>
  </si>
  <si>
    <t>4010</t>
  </si>
  <si>
    <t xml:space="preserve">    PENDAPATAN PENJUALAN</t>
  </si>
  <si>
    <t>Terima DP pesanan tumpeng mini - Pak Dodi</t>
  </si>
  <si>
    <t>BIAYA BAHAN BAKU</t>
  </si>
  <si>
    <t>Belanja tepung, gula, mentega di Toko Sumber Makmur</t>
  </si>
  <si>
    <t>5010</t>
  </si>
  <si>
    <t xml:space="preserve">    KAS (Uang Tunai Keluar)</t>
  </si>
  <si>
    <t>Belanja ayam kampung 3 kg di Pasar</t>
  </si>
  <si>
    <t>BIAYA GAS &amp; LISTRIK</t>
  </si>
  <si>
    <t>Beli gas LPG 12 kg</t>
  </si>
  <si>
    <t>6010</t>
  </si>
  <si>
    <t>BIAYA KEMASAN</t>
  </si>
  <si>
    <t>Beli plastik &amp; kotak kue</t>
  </si>
  <si>
    <t>6020</t>
  </si>
  <si>
    <t>Terima bayaran pesanan kue ulang tahun 2 loyang - Bu Hesti</t>
  </si>
  <si>
    <t>Terima bayaran snack box arisan 30 pcs - Bu Dewi</t>
  </si>
  <si>
    <t>Belanja telur, santan, bumbu rendang</t>
  </si>
  <si>
    <t>BIAYA PENGIRIMAN</t>
  </si>
  <si>
    <t>Ongkos kirim pesanan snack box Bu Dewi</t>
  </si>
  <si>
    <t>6030</t>
  </si>
  <si>
    <t>Terima bayaran catering nasi kotak 100 porsi - Bu Lestari</t>
  </si>
  <si>
    <t>2025-01-13</t>
  </si>
  <si>
    <t>Belanja bahan untuk katering 100 porsi: beras, ayam, bumbu</t>
  </si>
  <si>
    <t>BIAYA PERLENGKAPAN</t>
  </si>
  <si>
    <t>Beli label stiker &amp; tusuk gigi</t>
  </si>
  <si>
    <t>6040</t>
  </si>
  <si>
    <t>BIAYA LISTRIK</t>
  </si>
  <si>
    <t>Bayar listrik bulan Januari</t>
  </si>
  <si>
    <t>PIUTANG USAHA</t>
  </si>
  <si>
    <t>Pesanan kue kering Pak Agus 5 toples (belum bayar)</t>
  </si>
  <si>
    <t>📊  TOTAL JURNAL UMUM</t>
  </si>
  <si>
    <t>💡 CARA BACA JURNAL:  Setiap transaksi selalu punya 2 baris.  Baris 1 = DEBIT (uang/nilai masuk ke akun).  Baris 2 = KREDIT (uang/nilai keluar dari akun).  Total Debit HARUS selalu sama dengan Total Kredit. ✅</t>
  </si>
  <si>
    <t>📋  LAPORAN KEUANGAN LENGKAP</t>
  </si>
  <si>
    <t>Laporan Laba Rugi · Laporan Perubahan Modal · Neraca | Semua otomatis dari data pesanan &amp; pengeluaran</t>
  </si>
  <si>
    <t>📅 Periode Laporan:</t>
  </si>
  <si>
    <t>Bulan Januari 2025</t>
  </si>
  <si>
    <t>👩 Pemilik:</t>
  </si>
  <si>
    <t>📊  LAPORAN LABA RUGI</t>
  </si>
  <si>
    <t>A. PENDAPATAN USAHA</t>
  </si>
  <si>
    <t xml:space="preserve">       Pendapatan dari Penjualan Catering &amp; Kue</t>
  </si>
  <si>
    <t xml:space="preserve">       Pendapatan Lain-lain (isi manual jika ada)</t>
  </si>
  <si>
    <t>TOTAL PENDAPATAN</t>
  </si>
  <si>
    <t>B. HARGA POKOK PENJUALAN (HPP)</t>
  </si>
  <si>
    <t xml:space="preserve">       Total Biaya Bahan Baku yang Dipakai</t>
  </si>
  <si>
    <t xml:space="preserve">       Total Biaya Operasional Produksi</t>
  </si>
  <si>
    <t>TOTAL HPP</t>
  </si>
  <si>
    <t>LABA KOTOR  (Pendapatan − HPP)</t>
  </si>
  <si>
    <t>C. BEBAN OPERASIONAL</t>
  </si>
  <si>
    <t xml:space="preserve">       Beban Pengiriman / Ongkir</t>
  </si>
  <si>
    <t xml:space="preserve">       Beban Perlengkapan (label, dll)</t>
  </si>
  <si>
    <t xml:space="preserve">       Beban Lain-lain (isi manual)</t>
  </si>
  <si>
    <t>TOTAL BEBAN OPERASIONAL</t>
  </si>
  <si>
    <t>LABA BERSIH SEBELUM PAJAK  (Laba Kotor − Beban)</t>
  </si>
  <si>
    <t xml:space="preserve">       Pajak Penghasilan (PPh — isi jika kena pajak)</t>
  </si>
  <si>
    <t>🎉  LABA BERSIH</t>
  </si>
  <si>
    <t>📈 Margin Keuntungan Bersih (%)</t>
  </si>
  <si>
    <t>📦 Rata-rata Keuntungan Per Hari (30 hari)</t>
  </si>
  <si>
    <t>💼  LAPORAN PERUBAHAN MODAL</t>
  </si>
  <si>
    <t xml:space="preserve">       Modal Awal Usaha (di awal periode)</t>
  </si>
  <si>
    <t xml:space="preserve">       Tambah: Laba Bersih Periode Ini</t>
  </si>
  <si>
    <t xml:space="preserve">       Kurang: Prive / Uang diambil pemilik (isi manual)</t>
  </si>
  <si>
    <t>MODAL AKHIR</t>
  </si>
  <si>
    <t>⚖️  NERACA (POSISI KEUANGAN)</t>
  </si>
  <si>
    <t>ASET (Harta Usaha)</t>
  </si>
  <si>
    <t xml:space="preserve">       Kas / Uang Tunai yang Tersisa</t>
  </si>
  <si>
    <t xml:space="preserve">       Piutang (Pelanggan Belum Bayar)</t>
  </si>
  <si>
    <t xml:space="preserve">       Persediaan Bahan Baku (sisa bahan)</t>
  </si>
  <si>
    <t xml:space="preserve">       Peralatan Dapur (oven, mixer, dll)</t>
  </si>
  <si>
    <t>TOTAL ASET</t>
  </si>
  <si>
    <t>KEWAJIBAN (Hutang)</t>
  </si>
  <si>
    <t xml:space="preserve">       Hutang ke Supplier / Toko (belum dibayar)</t>
  </si>
  <si>
    <t xml:space="preserve">       Hutang Lain-lain (isi manual)</t>
  </si>
  <si>
    <t>TOTAL KEWAJIBAN</t>
  </si>
  <si>
    <t>MODAL PEMILIK</t>
  </si>
  <si>
    <t xml:space="preserve">       Modal Akhir Periode</t>
  </si>
  <si>
    <t>TOTAL MODAL</t>
  </si>
  <si>
    <t>TOTAL KEWAJIBAN + MODAL</t>
  </si>
  <si>
    <t>💡  PENJELASAN ISTILAH UNTUK IBU-IBU</t>
  </si>
  <si>
    <t xml:space="preserve">  📊 Laba Rugi</t>
  </si>
  <si>
    <t>Laporan berapa UNTUNG atau RUGI usaha bulan ini</t>
  </si>
  <si>
    <t xml:space="preserve">  💼 Perubahan Modal</t>
  </si>
  <si>
    <t>Laporan berapa MODAL usaha bertambah atau berkurang</t>
  </si>
  <si>
    <t xml:space="preserve">  ⚖️ Neraca</t>
  </si>
  <si>
    <t>Foto kondisi keuangan usaha: punya apa &amp; hutang apa</t>
  </si>
  <si>
    <t xml:space="preserve">  💰 Pendapatan</t>
  </si>
  <si>
    <t>Semua UANG MASUK dari penjualan catering &amp; kue</t>
  </si>
  <si>
    <t xml:space="preserve">  🛒 HPP</t>
  </si>
  <si>
    <t>Biaya bahan + operasional yang dikeluarkan untuk produksi</t>
  </si>
  <si>
    <t xml:space="preserve">  🎉 Laba Bersih</t>
  </si>
  <si>
    <t>Uang Masuk DIKURANG semua biaya = keuntungan sesungguhnya</t>
  </si>
  <si>
    <t xml:space="preserve">  📦 Aset</t>
  </si>
  <si>
    <t>Semua yang DIMILIKI usaha: uang tunai, piutang, peralatan</t>
  </si>
  <si>
    <t xml:space="preserve">  💳 Kewajiban</t>
  </si>
  <si>
    <t>Semua HUTANG yang harus dibayar</t>
  </si>
  <si>
    <t xml:space="preserve">  🏦 Modal</t>
  </si>
  <si>
    <t>Uang atau aset yang dimasukkan pemilik ke dalam usaha</t>
  </si>
  <si>
    <t>📅  REKAP KEUANGAN BULANAN — 2025</t>
  </si>
  <si>
    <t>💡 Isi uang masuk, biaya bahan, dan biaya lain tiap bulan — keuntungan dihitung otomatis!</t>
  </si>
  <si>
    <t>UANG MASUK
(Rp)</t>
  </si>
  <si>
    <t>BIAYA BAHAN
(Rp)</t>
  </si>
  <si>
    <t>BIAYA LAIN
(Rp)</t>
  </si>
  <si>
    <t>TOTAL BIAYA
(Rp)</t>
  </si>
  <si>
    <t>KEUNTUNGAN
(Rp)</t>
  </si>
  <si>
    <t>MARGIN
(%)</t>
  </si>
  <si>
    <t>STATUS</t>
  </si>
  <si>
    <t>📊 TOTAL SETAHUN</t>
  </si>
  <si>
    <t>📈  GRAFIK TREN KEUNTUNGAN BULANAN</t>
  </si>
  <si>
    <t>💳  CATATAN HUTANG &amp; PIUTANG</t>
  </si>
  <si>
    <t>💡 Hutang = kamu yang belum bayar ke orang | Piutang = orang yang belum bayar ke kamu</t>
  </si>
  <si>
    <t>💰  PIUTANG — Pelanggan Yang Belum Bayar ke Kamu</t>
  </si>
  <si>
    <t>TANGGAL
PESANAN</t>
  </si>
  <si>
    <t>NAMA PELANGGAN</t>
  </si>
  <si>
    <t>MENU / DESKRIPSI</t>
  </si>
  <si>
    <t>JUMLAH
TAGIHAN (Rp)</t>
  </si>
  <si>
    <t>TANGGAL
JATUH TEMPO</t>
  </si>
  <si>
    <t>Kue Kering Lebaran 5 toples</t>
  </si>
  <si>
    <t>Sudah diingatkan 1x</t>
  </si>
  <si>
    <t>Puding Cokelat 20 pcs</t>
  </si>
  <si>
    <t>2025-01-27</t>
  </si>
  <si>
    <t>💰 TOTAL PIUTANG BELUM TERBAYAR</t>
  </si>
  <si>
    <t>🛒  HUTANG — Yang Belum Kamu Bayar ke Toko / Supplier</t>
  </si>
  <si>
    <t>TANGGAL
BELI</t>
  </si>
  <si>
    <t>NAMA TOKO/SUPPLIER</t>
  </si>
  <si>
    <t>KETERANGAN BELANJA</t>
  </si>
  <si>
    <t>JUMLAH
HUTANG (Rp)</t>
  </si>
  <si>
    <t>🛒 TOTAL HUTANG BELUM DIBAYAR</t>
  </si>
  <si>
    <t>🍽️  DAFTAR MENU &amp; HARGA JUAL</t>
  </si>
  <si>
    <t>💡 Isi daftar menu usahamu di sini — bisa dicetak dan dibagikan ke pelanggan!</t>
  </si>
  <si>
    <t>🍱  KATEGORI: NASI BOX &amp; CATERING</t>
  </si>
  <si>
    <t>NAMA MENU</t>
  </si>
  <si>
    <t>DESKRIPSI</t>
  </si>
  <si>
    <t>HARGA JUAL
(Rp)</t>
  </si>
  <si>
    <t>MIN. PESAN
(porsi)</t>
  </si>
  <si>
    <t>TERSEDIA?</t>
  </si>
  <si>
    <t>CATATAN/BAHAN</t>
  </si>
  <si>
    <t>WAKTU
PERSIAPAN</t>
  </si>
  <si>
    <t>Nasi putih + ayam bakar + lalapan + sambal</t>
  </si>
  <si>
    <t>20</t>
  </si>
  <si>
    <t>✅ Ada</t>
  </si>
  <si>
    <t>Pesan H-1</t>
  </si>
  <si>
    <t>1 hari</t>
  </si>
  <si>
    <t>Nasi Box Rendang</t>
  </si>
  <si>
    <t>Nasi putih + rendang sapi + sayur + kerupuk</t>
  </si>
  <si>
    <t>Pesan H-2</t>
  </si>
  <si>
    <t>2 hari</t>
  </si>
  <si>
    <t>Nasi Kotak Prasmanan</t>
  </si>
  <si>
    <t>Pilih 1 lauk dari menu tersedia</t>
  </si>
  <si>
    <t>50</t>
  </si>
  <si>
    <t>Hubungi dulu</t>
  </si>
  <si>
    <t>Nasi kuning + lauk lengkap (porsi kecil)</t>
  </si>
  <si>
    <t>1</t>
  </si>
  <si>
    <t>Tumpeng Besar</t>
  </si>
  <si>
    <t>Nasi kuning + lauk lengkap (porsi keluarga)</t>
  </si>
  <si>
    <t>Pesan H-3</t>
  </si>
  <si>
    <t>3 hari</t>
  </si>
  <si>
    <t>Gorengan + kue + minuman</t>
  </si>
  <si>
    <t>30</t>
  </si>
  <si>
    <t>🎂  KATEGORI: KUE &amp; DESSERT</t>
  </si>
  <si>
    <t>Kue lapis cokelat + keju, dekorasi custom</t>
  </si>
  <si>
    <t>1 loyang</t>
  </si>
  <si>
    <t>Brownies Panggang</t>
  </si>
  <si>
    <t>Brownies cokelat tebal, bisa custom topping</t>
  </si>
  <si>
    <t>Puding susu + saus cokelat, cup plastik</t>
  </si>
  <si>
    <t>1 cup</t>
  </si>
  <si>
    <t>Nastar, putri salju, kastengel — 1 toples</t>
  </si>
  <si>
    <t>1 toples</t>
  </si>
  <si>
    <t>Musiman</t>
  </si>
  <si>
    <t>Kue Basah Tradisional</t>
  </si>
  <si>
    <t>Klepon, onde-onde, lemper — per biji</t>
  </si>
  <si>
    <t>per biji</t>
  </si>
  <si>
    <t>Bolu Kukus Pelangi</t>
  </si>
  <si>
    <t>Bolu warna-warni untuk hantaran/kondangan</t>
  </si>
  <si>
    <t>Risoles Mayo</t>
  </si>
  <si>
    <t>Risoles isi sayur + mayo, digoreng crispy</t>
  </si>
  <si>
    <t>🥤  KATEGORI: MINUMAN</t>
  </si>
  <si>
    <t>Es Teh Manis</t>
  </si>
  <si>
    <t>Teh manis dingin, gelas plastik + sedotan</t>
  </si>
  <si>
    <t>per gelas</t>
  </si>
  <si>
    <t>Es Jeruk</t>
  </si>
  <si>
    <t>Jeruk peras segar + gula + es</t>
  </si>
  <si>
    <t>Jus Alpukat</t>
  </si>
  <si>
    <t>Jus alpukat segar + susu kental manis</t>
  </si>
  <si>
    <t>📌 CATATAN: Harga dapat berubah sewaktu-waktu. Hubungi kami untuk konfirmasi harga terbaru.</t>
  </si>
  <si>
    <t>🧮  KALKULATOR HARGA JUAL YANG TEPAT</t>
  </si>
  <si>
    <t>💡 Masukkan biaya bahan dan target keuntungan — harga jual otomatis terhitung!</t>
  </si>
  <si>
    <t>🟡 Isi kolom kuning saja — hasil di kolom hijau otomatis!</t>
  </si>
  <si>
    <t>📌 NAMA MENU:</t>
  </si>
  <si>
    <t xml:space="preserve">  Nama Menu yang Dihitung:</t>
  </si>
  <si>
    <t>A. BIAYA BAHAN (per porsi/pcs)</t>
  </si>
  <si>
    <t xml:space="preserve">  Bahan Utama (ayam, tepung, dll)</t>
  </si>
  <si>
    <t xml:space="preserve">  Bumbu &amp; Rempah</t>
  </si>
  <si>
    <t xml:space="preserve">  Minyak / Mentega</t>
  </si>
  <si>
    <t xml:space="preserve">  Kemasan (kotak, plastik, dll)</t>
  </si>
  <si>
    <t xml:space="preserve">  Bahan Pelengkap (sayur, kerupuk, dll)</t>
  </si>
  <si>
    <t xml:space="preserve">  Lain-lain</t>
  </si>
  <si>
    <t xml:space="preserve">  📌 TOTAL BIAYA BAHAN</t>
  </si>
  <si>
    <t>B. BIAYA OPERASIONAL (per porsi/pcs)</t>
  </si>
  <si>
    <t xml:space="preserve">  Gas / Listrik (dibagi jumlah porsi)</t>
  </si>
  <si>
    <t xml:space="preserve">  Ongkos kirim (jika ada)</t>
  </si>
  <si>
    <t xml:space="preserve">  Upah tenaga bantu (jika ada)</t>
  </si>
  <si>
    <t xml:space="preserve">  📌 TOTAL BIAYA OPERASIONAL</t>
  </si>
  <si>
    <t>🔴 TOTAL HPP (Harga Pokok per Porsi)</t>
  </si>
  <si>
    <t>C. TARGET KEUNTUNGAN</t>
  </si>
  <si>
    <t xml:space="preserve">  Target Keuntungan (%)</t>
  </si>
  <si>
    <t>← Ganti angkanya (contoh: 35% = 0.35)</t>
  </si>
  <si>
    <t>🎉  HASIL KALKULASI HARGA JUAL</t>
  </si>
  <si>
    <t>💰 Harga Jual MINIMUM (tidak rugi)</t>
  </si>
  <si>
    <t>← Pakai harga ini minimal</t>
  </si>
  <si>
    <t>🏷️ Harga Jual DISARANKAN (+5% buffer)</t>
  </si>
  <si>
    <t>← Harga ini lebih aman ✅</t>
  </si>
  <si>
    <t>🎊 Keuntungan Per Porsi</t>
  </si>
  <si>
    <t>← Untung per 1 porsi</t>
  </si>
  <si>
    <t>📈 Keuntungan Jika Jual 50 Porsi</t>
  </si>
  <si>
    <t>← Proyeksi 50 porsi</t>
  </si>
  <si>
    <t>📊 Keuntungan Jika Jual 100 Porsi</t>
  </si>
  <si>
    <t>← Proyeksi 100 porsi</t>
  </si>
  <si>
    <t>VOLUME</t>
  </si>
  <si>
    <t>Kg</t>
  </si>
  <si>
    <t>Ltr</t>
  </si>
  <si>
    <t>Pcs</t>
  </si>
  <si>
    <t>HARGA BELI</t>
  </si>
  <si>
    <t>JUMLAH</t>
  </si>
  <si>
    <t>🍽️ AYAM BAKAR (1 porsi)</t>
  </si>
  <si>
    <t>Ayam</t>
  </si>
  <si>
    <t>Bawang Putih</t>
  </si>
  <si>
    <t>Ketumbar Bubuk</t>
  </si>
  <si>
    <t>Kaldu Bubuk</t>
  </si>
  <si>
    <t>Air</t>
  </si>
  <si>
    <t>Liter</t>
  </si>
  <si>
    <t>Gas</t>
  </si>
  <si>
    <t>Kali</t>
  </si>
  <si>
    <t>Packaging</t>
  </si>
  <si>
    <t>📌 TOTAL HPP (Harga Pokok Produksi)</t>
  </si>
  <si>
    <t>Jumlah Produksi</t>
  </si>
  <si>
    <t>Harga Jual Sekarang</t>
  </si>
  <si>
    <t>Laba Kotor</t>
  </si>
  <si>
    <t>Laba Berssih</t>
  </si>
  <si>
    <t>TOTAL</t>
  </si>
  <si>
    <t>DEBIT</t>
  </si>
  <si>
    <t>KREDIT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</si>
</sst>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0.0%"/>
    <numFmt numFmtId="165" formatCode="&quot;Rp&quot;#,##0"/>
    <numFmt numFmtId="166" formatCode="[$-421]dd\ mmmm\ yyyy;@"/>
  </numFmts>
  <fonts count="5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C2185B"/>
      <name val="Arial"/>
      <family val="2"/>
    </font>
    <font>
      <b/>
      <sz val="10"/>
      <color rgb="FFC2185B"/>
      <name val="Arial"/>
      <family val="2"/>
    </font>
    <font>
      <b/>
      <sz val="11"/>
      <color rgb="FFF57F17"/>
      <name val="Arial"/>
      <family val="2"/>
    </font>
    <font>
      <sz val="10"/>
      <color rgb="FFF57F17"/>
      <name val="Arial"/>
      <family val="2"/>
    </font>
    <font>
      <b/>
      <sz val="11"/>
      <color rgb="FFFFFFFF"/>
      <name val="Arial"/>
      <family val="2"/>
    </font>
    <font>
      <b/>
      <sz val="12"/>
      <color rgb="FFC2185B"/>
      <name val="Arial"/>
      <family val="2"/>
    </font>
    <font>
      <b/>
      <sz val="10"/>
      <color rgb="FF7B1FA2"/>
      <name val="Arial"/>
      <family val="2"/>
    </font>
    <font>
      <sz val="9"/>
      <color rgb="FF616161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00796B"/>
      <name val="Arial"/>
      <family val="2"/>
    </font>
    <font>
      <sz val="10"/>
      <name val="Arial"/>
      <family val="2"/>
    </font>
    <font>
      <sz val="10"/>
      <color rgb="FFD32F2F"/>
      <name val="Arial"/>
      <family val="2"/>
    </font>
    <font>
      <sz val="10"/>
      <color rgb="FFFF8A65"/>
      <name val="Arial"/>
      <family val="2"/>
    </font>
    <font>
      <b/>
      <sz val="11"/>
      <color rgb="FFC2185B"/>
      <name val="Arial"/>
      <family val="2"/>
    </font>
    <font>
      <b/>
      <sz val="14"/>
      <color rgb="FFFFFFFF"/>
      <name val="Arial"/>
      <family val="2"/>
    </font>
    <font>
      <b/>
      <sz val="13"/>
      <color rgb="FFFFFFFF"/>
      <name val="Arial"/>
      <family val="2"/>
    </font>
    <font>
      <i/>
      <sz val="9"/>
      <color rgb="FFF57F17"/>
      <name val="Arial"/>
      <family val="2"/>
    </font>
    <font>
      <b/>
      <sz val="10"/>
      <color rgb="FFF57F17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i/>
      <sz val="10"/>
      <color rgb="FFD32F2F"/>
      <name val="Arial"/>
      <family val="2"/>
    </font>
    <font>
      <i/>
      <sz val="10"/>
      <color rgb="FFFF8A65"/>
      <name val="Arial"/>
      <family val="2"/>
    </font>
    <font>
      <b/>
      <sz val="11"/>
      <color rgb="FF00796B"/>
      <name val="Arial"/>
      <family val="2"/>
    </font>
    <font>
      <sz val="9"/>
      <name val="Arial"/>
      <family val="2"/>
    </font>
    <font>
      <b/>
      <sz val="9"/>
      <color rgb="FF00796B"/>
      <name val="Arial"/>
      <family val="2"/>
    </font>
    <font>
      <b/>
      <sz val="10"/>
      <color rgb="FF00796B"/>
      <name val="Arial"/>
      <family val="2"/>
    </font>
    <font>
      <b/>
      <sz val="9"/>
      <color rgb="FFC2185B"/>
      <name val="Arial"/>
      <family val="2"/>
    </font>
    <font>
      <i/>
      <sz val="9"/>
      <color rgb="FF7B1FA2"/>
      <name val="Arial"/>
      <family val="2"/>
    </font>
    <font>
      <b/>
      <sz val="10"/>
      <color rgb="FFD32F2F"/>
      <name val="Arial"/>
      <family val="2"/>
    </font>
    <font>
      <b/>
      <sz val="12"/>
      <color rgb="FFFFFFFF"/>
      <name val="Arial"/>
      <family val="2"/>
    </font>
    <font>
      <i/>
      <sz val="9"/>
      <color rgb="FF1A237E"/>
      <name val="Arial"/>
      <family val="2"/>
    </font>
    <font>
      <b/>
      <sz val="10"/>
      <color rgb="FF1A237E"/>
      <name val="Arial"/>
      <family val="2"/>
    </font>
    <font>
      <b/>
      <sz val="12"/>
      <color rgb="FF00796B"/>
      <name val="Arial"/>
      <family val="2"/>
    </font>
    <font>
      <b/>
      <sz val="11"/>
      <color rgb="FFD32F2F"/>
      <name val="Arial"/>
      <family val="2"/>
    </font>
    <font>
      <b/>
      <sz val="12"/>
      <color rgb="FFD32F2F"/>
      <name val="Arial"/>
      <family val="2"/>
    </font>
    <font>
      <b/>
      <sz val="11"/>
      <color rgb="FF2E7D32"/>
      <name val="Arial"/>
      <family val="2"/>
    </font>
    <font>
      <b/>
      <sz val="12"/>
      <color rgb="FF2E7D32"/>
      <name val="Arial"/>
      <family val="2"/>
    </font>
    <font>
      <b/>
      <sz val="10"/>
      <color rgb="FFFF8A65"/>
      <name val="Arial"/>
      <family val="2"/>
    </font>
    <font>
      <b/>
      <sz val="11"/>
      <color rgb="FFFF8A65"/>
      <name val="Arial"/>
      <family val="2"/>
    </font>
    <font>
      <b/>
      <sz val="12"/>
      <color rgb="FFFF8A65"/>
      <name val="Arial"/>
      <family val="2"/>
    </font>
    <font>
      <b/>
      <sz val="11"/>
      <color rgb="FF7B1FA2"/>
      <name val="Arial"/>
      <family val="2"/>
    </font>
    <font>
      <b/>
      <sz val="12"/>
      <color rgb="FF7B1FA2"/>
      <name val="Arial"/>
      <family val="2"/>
    </font>
    <font>
      <b/>
      <sz val="10"/>
      <color rgb="FF1565C0"/>
      <name val="Arial"/>
      <family val="2"/>
    </font>
    <font>
      <b/>
      <sz val="11"/>
      <color rgb="FF1565C0"/>
      <name val="Arial"/>
      <family val="2"/>
    </font>
    <font>
      <b/>
      <sz val="12"/>
      <color rgb="FF1565C0"/>
      <name val="Arial"/>
      <family val="2"/>
    </font>
    <font>
      <b/>
      <sz val="10"/>
      <color rgb="FF2E7D32"/>
      <name val="Arial"/>
      <family val="2"/>
    </font>
    <font>
      <sz val="10"/>
      <color rgb="FF616161"/>
      <name val="Arial"/>
      <family val="2"/>
    </font>
    <font>
      <i/>
      <sz val="9"/>
      <color rgb="FFC2185B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i/>
      <sz val="9"/>
      <color rgb="FF61616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C2185B"/>
        <bgColor rgb="FFD32F2F"/>
      </patternFill>
    </fill>
    <fill>
      <patternFill patternType="solid">
        <fgColor rgb="FFFCE4EC"/>
        <bgColor rgb="FFFBE9E7"/>
      </patternFill>
    </fill>
    <fill>
      <patternFill patternType="solid">
        <fgColor rgb="FFFFFDE7"/>
        <bgColor rgb="FFF9F9F9"/>
      </patternFill>
    </fill>
    <fill>
      <patternFill patternType="solid">
        <fgColor rgb="FF7B1FA2"/>
        <bgColor rgb="FF800080"/>
      </patternFill>
    </fill>
    <fill>
      <patternFill patternType="solid">
        <fgColor rgb="FFFFF0F5"/>
        <bgColor rgb="FFFFEBEE"/>
      </patternFill>
    </fill>
    <fill>
      <patternFill patternType="solid">
        <fgColor rgb="FF00796B"/>
        <bgColor rgb="FF2E7D32"/>
      </patternFill>
    </fill>
    <fill>
      <patternFill patternType="solid">
        <fgColor rgb="FFE0F2F1"/>
        <bgColor rgb="FFE3F2FD"/>
      </patternFill>
    </fill>
    <fill>
      <patternFill patternType="solid">
        <fgColor rgb="FFFFEBEE"/>
        <bgColor rgb="FFFBE9E7"/>
      </patternFill>
    </fill>
    <fill>
      <patternFill patternType="solid">
        <fgColor rgb="FFFBE9E7"/>
        <bgColor rgb="FFFFEBEE"/>
      </patternFill>
    </fill>
    <fill>
      <patternFill patternType="solid">
        <fgColor rgb="FFFFFFFF"/>
        <bgColor rgb="FFF9F9F9"/>
      </patternFill>
    </fill>
    <fill>
      <patternFill patternType="solid">
        <fgColor rgb="FFD32F2F"/>
        <bgColor rgb="FFC2185B"/>
      </patternFill>
    </fill>
    <fill>
      <patternFill patternType="solid">
        <fgColor rgb="FFFF8A65"/>
        <bgColor rgb="FFF57F17"/>
      </patternFill>
    </fill>
    <fill>
      <patternFill patternType="solid">
        <fgColor rgb="FFF3E5F5"/>
        <bgColor rgb="FFFCE4EC"/>
      </patternFill>
    </fill>
    <fill>
      <patternFill patternType="solid">
        <fgColor rgb="FF2E7D32"/>
        <bgColor rgb="FF008000"/>
      </patternFill>
    </fill>
    <fill>
      <patternFill patternType="solid">
        <fgColor rgb="FF1A237E"/>
        <bgColor rgb="FF333399"/>
      </patternFill>
    </fill>
    <fill>
      <patternFill patternType="solid">
        <fgColor rgb="FFE3F2FD"/>
        <bgColor rgb="FFE0F2F1"/>
      </patternFill>
    </fill>
    <fill>
      <patternFill patternType="solid">
        <fgColor rgb="FFF5F5F5"/>
        <bgColor rgb="FFF9F9F9"/>
      </patternFill>
    </fill>
    <fill>
      <patternFill patternType="solid">
        <fgColor rgb="FFE8F5E9"/>
        <bgColor rgb="FFE0F2F1"/>
      </patternFill>
    </fill>
    <fill>
      <patternFill patternType="solid">
        <fgColor rgb="FFF57F17"/>
        <bgColor rgb="FFFF9900"/>
      </patternFill>
    </fill>
    <fill>
      <patternFill patternType="solid">
        <fgColor theme="3" tint="0.59999389629810485"/>
        <bgColor rgb="FFC2185B"/>
      </patternFill>
    </fill>
    <fill>
      <patternFill patternType="solid">
        <fgColor theme="2" tint="-0.249977111117893"/>
        <bgColor rgb="FFE3F2FD"/>
      </patternFill>
    </fill>
    <fill>
      <patternFill patternType="solid">
        <fgColor theme="0"/>
        <bgColor rgb="FFFCE4EC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rgb="FFE3F2FD"/>
      </patternFill>
    </fill>
    <fill>
      <patternFill patternType="solid">
        <fgColor theme="0"/>
        <bgColor rgb="FFFBE9E7"/>
      </patternFill>
    </fill>
    <fill>
      <patternFill patternType="solid">
        <fgColor theme="0"/>
        <bgColor rgb="FFFFEBEE"/>
      </patternFill>
    </fill>
  </fills>
  <borders count="19">
    <border>
      <left/>
      <right/>
      <top/>
      <bottom/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C2185B"/>
      </left>
      <right/>
      <top style="medium">
        <color rgb="FFC2185B"/>
      </top>
      <bottom style="medium">
        <color rgb="FFC2185B"/>
      </bottom>
      <diagonal/>
    </border>
    <border>
      <left style="medium">
        <color rgb="FF00796B"/>
      </left>
      <right style="medium">
        <color rgb="FF00796B"/>
      </right>
      <top style="medium">
        <color rgb="FF00796B"/>
      </top>
      <bottom style="medium">
        <color rgb="FF00796B"/>
      </bottom>
      <diagonal/>
    </border>
    <border>
      <left style="medium">
        <color rgb="FFD32F2F"/>
      </left>
      <right style="medium">
        <color rgb="FFD32F2F"/>
      </right>
      <top style="medium">
        <color rgb="FFD32F2F"/>
      </top>
      <bottom style="medium">
        <color rgb="FFD32F2F"/>
      </bottom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  <border>
      <left style="medium">
        <color rgb="FFFF8A65"/>
      </left>
      <right style="medium">
        <color rgb="FFFF8A65"/>
      </right>
      <top style="medium">
        <color rgb="FFFF8A65"/>
      </top>
      <bottom style="medium">
        <color rgb="FFFF8A65"/>
      </bottom>
      <diagonal/>
    </border>
    <border>
      <left style="medium">
        <color rgb="FF7B1FA2"/>
      </left>
      <right style="medium">
        <color rgb="FF7B1FA2"/>
      </right>
      <top style="medium">
        <color rgb="FF7B1FA2"/>
      </top>
      <bottom style="medium">
        <color rgb="FF7B1FA2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796B"/>
      </left>
      <right/>
      <top style="medium">
        <color rgb="FF00796B"/>
      </top>
      <bottom style="medium">
        <color rgb="FF00796B"/>
      </bottom>
      <diagonal/>
    </border>
    <border>
      <left style="medium">
        <color rgb="FF1A237E"/>
      </left>
      <right/>
      <top style="medium">
        <color rgb="FF1A237E"/>
      </top>
      <bottom style="medium">
        <color rgb="FF1A237E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 style="medium">
        <color rgb="FF2E7D32"/>
      </left>
      <right/>
      <top style="medium">
        <color rgb="FF2E7D32"/>
      </top>
      <bottom style="medium">
        <color rgb="FF2E7D32"/>
      </bottom>
      <diagonal/>
    </border>
    <border>
      <left style="medium">
        <color rgb="FFC2185B"/>
      </left>
      <right style="medium">
        <color rgb="FFC2185B"/>
      </right>
      <top style="medium">
        <color rgb="FFC2185B"/>
      </top>
      <bottom style="medium">
        <color rgb="FFC2185B"/>
      </bottom>
      <diagonal/>
    </border>
    <border>
      <left style="medium">
        <color rgb="FFC2185B"/>
      </left>
      <right/>
      <top/>
      <bottom/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65">
    <xf numFmtId="0" fontId="0" fillId="0" borderId="0" xfId="0"/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left" vertical="center"/>
    </xf>
    <xf numFmtId="0" fontId="0" fillId="6" borderId="2" xfId="0" applyFill="1" applyBorder="1"/>
    <xf numFmtId="0" fontId="0" fillId="11" borderId="2" xfId="0" applyFill="1" applyBorder="1"/>
    <xf numFmtId="0" fontId="0" fillId="4" borderId="2" xfId="0" applyFill="1" applyBorder="1"/>
    <xf numFmtId="0" fontId="10" fillId="12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/>
    </xf>
    <xf numFmtId="0" fontId="0" fillId="9" borderId="2" xfId="0" applyFill="1" applyBorder="1"/>
    <xf numFmtId="0" fontId="10" fillId="13" borderId="2" xfId="0" applyFont="1" applyFill="1" applyBorder="1" applyAlignment="1">
      <alignment horizontal="center" vertical="center" wrapText="1"/>
    </xf>
    <xf numFmtId="0" fontId="0" fillId="10" borderId="2" xfId="0" applyFill="1" applyBorder="1"/>
    <xf numFmtId="0" fontId="0" fillId="7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5" borderId="2" xfId="0" applyFill="1" applyBorder="1"/>
    <xf numFmtId="0" fontId="0" fillId="2" borderId="2" xfId="0" applyFill="1" applyBorder="1"/>
    <xf numFmtId="164" fontId="4" fillId="4" borderId="2" xfId="0" applyNumberFormat="1" applyFont="1" applyFill="1" applyBorder="1" applyAlignment="1">
      <alignment horizontal="right" vertical="center"/>
    </xf>
    <xf numFmtId="0" fontId="22" fillId="2" borderId="2" xfId="0" applyFont="1" applyFill="1" applyBorder="1" applyAlignment="1">
      <alignment horizontal="center" vertical="center"/>
    </xf>
    <xf numFmtId="0" fontId="26" fillId="4" borderId="2" xfId="0" applyFont="1" applyFill="1" applyBorder="1"/>
    <xf numFmtId="0" fontId="26" fillId="4" borderId="2" xfId="0" applyFont="1" applyFill="1" applyBorder="1" applyAlignment="1">
      <alignment horizontal="center"/>
    </xf>
    <xf numFmtId="0" fontId="26" fillId="4" borderId="2" xfId="0" applyFont="1" applyFill="1" applyBorder="1" applyAlignment="1">
      <alignment horizontal="right"/>
    </xf>
    <xf numFmtId="0" fontId="10" fillId="2" borderId="2" xfId="0" applyFont="1" applyFill="1" applyBorder="1" applyAlignment="1">
      <alignment horizontal="center" vertical="center"/>
    </xf>
    <xf numFmtId="0" fontId="13" fillId="4" borderId="2" xfId="0" applyFont="1" applyFill="1" applyBorder="1"/>
    <xf numFmtId="0" fontId="22" fillId="2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right" vertical="center"/>
    </xf>
    <xf numFmtId="0" fontId="34" fillId="4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21" fillId="18" borderId="2" xfId="0" applyFont="1" applyFill="1" applyBorder="1" applyAlignment="1">
      <alignment horizontal="left" vertical="center"/>
    </xf>
    <xf numFmtId="0" fontId="0" fillId="18" borderId="2" xfId="0" applyFill="1" applyBorder="1"/>
    <xf numFmtId="164" fontId="8" fillId="14" borderId="2" xfId="0" applyNumberFormat="1" applyFont="1" applyFill="1" applyBorder="1" applyAlignment="1">
      <alignment horizontal="center" vertical="center"/>
    </xf>
    <xf numFmtId="0" fontId="51" fillId="11" borderId="2" xfId="0" applyFont="1" applyFill="1" applyBorder="1" applyAlignment="1">
      <alignment horizontal="center" vertical="center"/>
    </xf>
    <xf numFmtId="0" fontId="51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right" vertical="center"/>
    </xf>
    <xf numFmtId="0" fontId="52" fillId="4" borderId="2" xfId="0" applyFont="1" applyFill="1" applyBorder="1" applyAlignment="1">
      <alignment horizontal="center" vertical="center"/>
    </xf>
    <xf numFmtId="0" fontId="6" fillId="12" borderId="14" xfId="0" applyFont="1" applyFill="1" applyBorder="1" applyAlignment="1">
      <alignment horizontal="right" vertical="center"/>
    </xf>
    <xf numFmtId="0" fontId="52" fillId="8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center" vertical="center"/>
    </xf>
    <xf numFmtId="0" fontId="52" fillId="11" borderId="2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left" vertical="center"/>
    </xf>
    <xf numFmtId="0" fontId="52" fillId="3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/>
    </xf>
    <xf numFmtId="0" fontId="52" fillId="14" borderId="2" xfId="0" applyFont="1" applyFill="1" applyBorder="1" applyAlignment="1">
      <alignment horizontal="left" vertical="center"/>
    </xf>
    <xf numFmtId="0" fontId="13" fillId="14" borderId="2" xfId="0" applyFont="1" applyFill="1" applyBorder="1" applyAlignment="1">
      <alignment horizontal="left" vertical="center"/>
    </xf>
    <xf numFmtId="0" fontId="13" fillId="14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left" vertical="center"/>
    </xf>
    <xf numFmtId="0" fontId="21" fillId="4" borderId="2" xfId="0" applyFont="1" applyFill="1" applyBorder="1" applyAlignment="1">
      <alignment horizontal="right" vertical="center"/>
    </xf>
    <xf numFmtId="0" fontId="10" fillId="12" borderId="2" xfId="0" applyFont="1" applyFill="1" applyBorder="1" applyAlignment="1">
      <alignment horizontal="left" vertical="center"/>
    </xf>
    <xf numFmtId="0" fontId="10" fillId="13" borderId="2" xfId="0" applyFont="1" applyFill="1" applyBorder="1" applyAlignment="1">
      <alignment horizontal="left" vertical="center"/>
    </xf>
    <xf numFmtId="0" fontId="6" fillId="13" borderId="14" xfId="0" applyFont="1" applyFill="1" applyBorder="1" applyAlignment="1">
      <alignment horizontal="right" vertical="center"/>
    </xf>
    <xf numFmtId="0" fontId="6" fillId="12" borderId="14" xfId="0" applyFont="1" applyFill="1" applyBorder="1" applyAlignment="1">
      <alignment horizontal="left" vertical="center"/>
    </xf>
    <xf numFmtId="0" fontId="32" fillId="12" borderId="14" xfId="0" applyFont="1" applyFill="1" applyBorder="1" applyAlignment="1">
      <alignment horizontal="right" vertical="center"/>
    </xf>
    <xf numFmtId="0" fontId="0" fillId="9" borderId="14" xfId="0" applyFill="1" applyBorder="1"/>
    <xf numFmtId="9" fontId="43" fillId="4" borderId="2" xfId="0" applyNumberFormat="1" applyFont="1" applyFill="1" applyBorder="1" applyAlignment="1">
      <alignment horizontal="right" vertical="center"/>
    </xf>
    <xf numFmtId="0" fontId="53" fillId="4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18" fillId="7" borderId="14" xfId="0" applyFont="1" applyFill="1" applyBorder="1" applyAlignment="1">
      <alignment horizontal="right" vertical="center"/>
    </xf>
    <xf numFmtId="0" fontId="10" fillId="15" borderId="2" xfId="0" applyFont="1" applyFill="1" applyBorder="1" applyAlignment="1">
      <alignment horizontal="left" vertical="center"/>
    </xf>
    <xf numFmtId="0" fontId="18" fillId="15" borderId="14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right" vertical="center"/>
    </xf>
    <xf numFmtId="0" fontId="10" fillId="5" borderId="2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right" vertical="center"/>
    </xf>
    <xf numFmtId="0" fontId="22" fillId="12" borderId="1" xfId="0" applyFont="1" applyFill="1" applyBorder="1" applyAlignment="1">
      <alignment horizontal="left" vertical="center"/>
    </xf>
    <xf numFmtId="0" fontId="27" fillId="8" borderId="1" xfId="0" applyFont="1" applyFill="1" applyBorder="1" applyAlignment="1">
      <alignment horizontal="left" vertical="center"/>
    </xf>
    <xf numFmtId="0" fontId="29" fillId="3" borderId="1" xfId="0" applyFont="1" applyFill="1" applyBorder="1" applyAlignment="1">
      <alignment horizontal="left" vertical="center"/>
    </xf>
    <xf numFmtId="165" fontId="12" fillId="8" borderId="2" xfId="0" applyNumberFormat="1" applyFont="1" applyFill="1" applyBorder="1" applyAlignment="1">
      <alignment horizontal="right" vertical="center"/>
    </xf>
    <xf numFmtId="165" fontId="14" fillId="9" borderId="2" xfId="0" applyNumberFormat="1" applyFont="1" applyFill="1" applyBorder="1" applyAlignment="1">
      <alignment horizontal="right" vertical="center"/>
    </xf>
    <xf numFmtId="165" fontId="15" fillId="10" borderId="2" xfId="0" applyNumberFormat="1" applyFont="1" applyFill="1" applyBorder="1" applyAlignment="1">
      <alignment horizontal="right" vertical="center"/>
    </xf>
    <xf numFmtId="165" fontId="16" fillId="3" borderId="2" xfId="0" applyNumberFormat="1" applyFont="1" applyFill="1" applyBorder="1" applyAlignment="1">
      <alignment horizontal="right" vertical="center"/>
    </xf>
    <xf numFmtId="166" fontId="21" fillId="4" borderId="2" xfId="0" applyNumberFormat="1" applyFont="1" applyFill="1" applyBorder="1" applyAlignment="1">
      <alignment horizontal="center" vertical="center"/>
    </xf>
    <xf numFmtId="165" fontId="21" fillId="4" borderId="2" xfId="0" applyNumberFormat="1" applyFon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/>
    </xf>
    <xf numFmtId="165" fontId="10" fillId="7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7" fillId="12" borderId="0" xfId="0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10" fillId="12" borderId="1" xfId="0" applyFont="1" applyFill="1" applyBorder="1" applyAlignment="1">
      <alignment horizontal="right" vertical="center"/>
    </xf>
    <xf numFmtId="0" fontId="19" fillId="4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right" vertical="center"/>
    </xf>
    <xf numFmtId="0" fontId="17" fillId="13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10" fillId="1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21" fillId="14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21" fillId="10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left" vertical="center"/>
    </xf>
    <xf numFmtId="0" fontId="21" fillId="8" borderId="1" xfId="0" applyFont="1" applyFill="1" applyBorder="1" applyAlignment="1">
      <alignment horizontal="left" vertical="center"/>
    </xf>
    <xf numFmtId="0" fontId="29" fillId="3" borderId="1" xfId="0" applyFont="1" applyFill="1" applyBorder="1" applyAlignment="1">
      <alignment horizontal="left" vertical="center"/>
    </xf>
    <xf numFmtId="0" fontId="22" fillId="12" borderId="1" xfId="0" applyFont="1" applyFill="1" applyBorder="1" applyAlignment="1">
      <alignment horizontal="left" vertical="center"/>
    </xf>
    <xf numFmtId="0" fontId="27" fillId="8" borderId="1" xfId="0" applyFont="1" applyFill="1" applyBorder="1" applyAlignment="1">
      <alignment horizontal="left" vertical="center"/>
    </xf>
    <xf numFmtId="0" fontId="30" fillId="1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0" fillId="14" borderId="0" xfId="0" applyFont="1" applyFill="1" applyAlignment="1">
      <alignment horizontal="left" vertical="center" wrapText="1"/>
    </xf>
    <xf numFmtId="0" fontId="17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left" vertical="center"/>
    </xf>
    <xf numFmtId="0" fontId="49" fillId="4" borderId="1" xfId="0" applyFont="1" applyFill="1" applyBorder="1" applyAlignment="1">
      <alignment horizontal="left" vertical="center"/>
    </xf>
    <xf numFmtId="0" fontId="38" fillId="19" borderId="13" xfId="0" applyFont="1" applyFill="1" applyBorder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33" fillId="17" borderId="0" xfId="0" applyFont="1" applyFill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50" fillId="3" borderId="0" xfId="0" applyFont="1" applyFill="1" applyAlignment="1">
      <alignment horizontal="center" vertical="center"/>
    </xf>
    <xf numFmtId="0" fontId="10" fillId="12" borderId="1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50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10" fillId="13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32" fillId="7" borderId="0" xfId="0" applyFont="1" applyFill="1" applyAlignment="1">
      <alignment horizontal="center" vertical="center"/>
    </xf>
    <xf numFmtId="0" fontId="17" fillId="20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42" fontId="18" fillId="7" borderId="0" xfId="0" applyNumberFormat="1" applyFont="1" applyFill="1" applyAlignment="1">
      <alignment horizontal="center" vertical="center"/>
    </xf>
    <xf numFmtId="0" fontId="13" fillId="4" borderId="2" xfId="0" applyFont="1" applyFill="1" applyBorder="1" applyAlignment="1">
      <alignment horizontal="left" vertical="center" wrapText="1"/>
    </xf>
    <xf numFmtId="42" fontId="13" fillId="4" borderId="2" xfId="0" applyNumberFormat="1" applyFont="1" applyFill="1" applyBorder="1" applyAlignment="1">
      <alignment horizontal="right" vertical="center"/>
    </xf>
    <xf numFmtId="42" fontId="18" fillId="12" borderId="15" xfId="0" applyNumberFormat="1" applyFont="1" applyFill="1" applyBorder="1" applyAlignment="1">
      <alignment horizontal="center" vertical="center"/>
    </xf>
    <xf numFmtId="42" fontId="18" fillId="12" borderId="0" xfId="0" applyNumberFormat="1" applyFont="1" applyFill="1" applyAlignment="1">
      <alignment horizontal="center" vertical="center"/>
    </xf>
    <xf numFmtId="42" fontId="18" fillId="12" borderId="0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166" fontId="13" fillId="4" borderId="2" xfId="0" applyNumberFormat="1" applyFont="1" applyFill="1" applyBorder="1" applyAlignment="1">
      <alignment horizontal="center" vertical="center"/>
    </xf>
    <xf numFmtId="165" fontId="18" fillId="13" borderId="3" xfId="0" applyNumberFormat="1" applyFont="1" applyFill="1" applyBorder="1" applyAlignment="1">
      <alignment horizontal="center" vertical="center"/>
    </xf>
    <xf numFmtId="165" fontId="13" fillId="4" borderId="2" xfId="0" applyNumberFormat="1" applyFont="1" applyFill="1" applyBorder="1" applyAlignment="1">
      <alignment horizontal="right" vertical="center"/>
    </xf>
    <xf numFmtId="165" fontId="0" fillId="4" borderId="2" xfId="0" applyNumberFormat="1" applyFill="1" applyBorder="1"/>
    <xf numFmtId="165" fontId="21" fillId="8" borderId="2" xfId="0" applyNumberFormat="1" applyFont="1" applyFill="1" applyBorder="1" applyAlignment="1">
      <alignment horizontal="right" vertical="center"/>
    </xf>
    <xf numFmtId="165" fontId="6" fillId="7" borderId="2" xfId="0" applyNumberFormat="1" applyFont="1" applyFill="1" applyBorder="1" applyAlignment="1">
      <alignment horizontal="right" vertical="center"/>
    </xf>
    <xf numFmtId="165" fontId="21" fillId="9" borderId="2" xfId="0" applyNumberFormat="1" applyFont="1" applyFill="1" applyBorder="1" applyAlignment="1">
      <alignment horizontal="right" vertical="center"/>
    </xf>
    <xf numFmtId="165" fontId="6" fillId="12" borderId="2" xfId="0" applyNumberFormat="1" applyFont="1" applyFill="1" applyBorder="1" applyAlignment="1">
      <alignment horizontal="right" vertical="center"/>
    </xf>
    <xf numFmtId="165" fontId="21" fillId="10" borderId="2" xfId="0" applyNumberFormat="1" applyFont="1" applyFill="1" applyBorder="1" applyAlignment="1">
      <alignment horizontal="right" vertical="center"/>
    </xf>
    <xf numFmtId="165" fontId="6" fillId="13" borderId="2" xfId="0" applyNumberFormat="1" applyFont="1" applyFill="1" applyBorder="1" applyAlignment="1">
      <alignment horizontal="right" vertical="center"/>
    </xf>
    <xf numFmtId="165" fontId="21" fillId="14" borderId="2" xfId="0" applyNumberFormat="1" applyFont="1" applyFill="1" applyBorder="1" applyAlignment="1">
      <alignment horizontal="right" vertical="center"/>
    </xf>
    <xf numFmtId="165" fontId="6" fillId="5" borderId="2" xfId="0" applyNumberFormat="1" applyFont="1" applyFill="1" applyBorder="1" applyAlignment="1">
      <alignment horizontal="right" vertical="center"/>
    </xf>
    <xf numFmtId="165" fontId="21" fillId="3" borderId="2" xfId="0" applyNumberFormat="1" applyFont="1" applyFill="1" applyBorder="1" applyAlignment="1">
      <alignment horizontal="right" vertical="center"/>
    </xf>
    <xf numFmtId="165" fontId="6" fillId="2" borderId="2" xfId="0" applyNumberFormat="1" applyFont="1" applyFill="1" applyBorder="1" applyAlignment="1">
      <alignment horizontal="right" vertical="center"/>
    </xf>
    <xf numFmtId="165" fontId="25" fillId="8" borderId="3" xfId="0" applyNumberFormat="1" applyFont="1" applyFill="1" applyBorder="1" applyAlignment="1">
      <alignment horizontal="center" vertical="center" wrapText="1"/>
    </xf>
    <xf numFmtId="165" fontId="18" fillId="7" borderId="15" xfId="0" applyNumberFormat="1" applyFont="1" applyFill="1" applyBorder="1" applyAlignment="1">
      <alignment horizontal="center" vertical="center"/>
    </xf>
    <xf numFmtId="165" fontId="10" fillId="12" borderId="2" xfId="0" applyNumberFormat="1" applyFont="1" applyFill="1" applyBorder="1" applyAlignment="1">
      <alignment horizontal="right"/>
    </xf>
    <xf numFmtId="165" fontId="28" fillId="8" borderId="2" xfId="0" applyNumberFormat="1" applyFont="1" applyFill="1" applyBorder="1" applyAlignment="1">
      <alignment horizontal="right"/>
    </xf>
    <xf numFmtId="165" fontId="3" fillId="3" borderId="2" xfId="0" applyNumberFormat="1" applyFont="1" applyFill="1" applyBorder="1" applyAlignment="1">
      <alignment horizontal="right"/>
    </xf>
    <xf numFmtId="165" fontId="13" fillId="4" borderId="2" xfId="0" applyNumberFormat="1" applyFont="1" applyFill="1" applyBorder="1"/>
    <xf numFmtId="3" fontId="26" fillId="4" borderId="2" xfId="0" applyNumberFormat="1" applyFont="1" applyFill="1" applyBorder="1" applyAlignment="1">
      <alignment horizontal="center"/>
    </xf>
    <xf numFmtId="0" fontId="17" fillId="2" borderId="0" xfId="0" applyFont="1" applyFill="1" applyAlignment="1">
      <alignment vertical="center"/>
    </xf>
    <xf numFmtId="0" fontId="6" fillId="5" borderId="17" xfId="0" applyFont="1" applyFill="1" applyBorder="1" applyAlignment="1">
      <alignment horizontal="center" vertical="center"/>
    </xf>
    <xf numFmtId="0" fontId="22" fillId="21" borderId="1" xfId="0" applyFont="1" applyFill="1" applyBorder="1" applyAlignment="1">
      <alignment vertical="center"/>
    </xf>
    <xf numFmtId="0" fontId="22" fillId="21" borderId="18" xfId="0" applyFont="1" applyFill="1" applyBorder="1" applyAlignment="1">
      <alignment vertical="center"/>
    </xf>
    <xf numFmtId="0" fontId="22" fillId="21" borderId="16" xfId="0" applyFont="1" applyFill="1" applyBorder="1" applyAlignment="1">
      <alignment vertical="center"/>
    </xf>
    <xf numFmtId="0" fontId="27" fillId="22" borderId="1" xfId="0" applyFont="1" applyFill="1" applyBorder="1" applyAlignment="1">
      <alignment horizontal="left" vertical="center"/>
    </xf>
    <xf numFmtId="165" fontId="28" fillId="22" borderId="2" xfId="0" applyNumberFormat="1" applyFont="1" applyFill="1" applyBorder="1" applyAlignment="1">
      <alignment horizontal="right"/>
    </xf>
    <xf numFmtId="3" fontId="26" fillId="4" borderId="2" xfId="0" applyNumberFormat="1" applyFont="1" applyFill="1" applyBorder="1" applyAlignment="1">
      <alignment horizontal="right"/>
    </xf>
    <xf numFmtId="0" fontId="22" fillId="2" borderId="1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165" fontId="26" fillId="4" borderId="1" xfId="0" applyNumberFormat="1" applyFont="1" applyFill="1" applyBorder="1" applyAlignment="1">
      <alignment horizontal="right"/>
    </xf>
    <xf numFmtId="165" fontId="26" fillId="4" borderId="16" xfId="0" applyNumberFormat="1" applyFont="1" applyFill="1" applyBorder="1" applyAlignment="1">
      <alignment horizontal="right"/>
    </xf>
    <xf numFmtId="165" fontId="10" fillId="12" borderId="1" xfId="0" applyNumberFormat="1" applyFont="1" applyFill="1" applyBorder="1" applyAlignment="1">
      <alignment horizontal="center"/>
    </xf>
    <xf numFmtId="165" fontId="10" fillId="12" borderId="16" xfId="0" applyNumberFormat="1" applyFont="1" applyFill="1" applyBorder="1" applyAlignment="1">
      <alignment horizontal="center"/>
    </xf>
    <xf numFmtId="165" fontId="28" fillId="8" borderId="1" xfId="0" applyNumberFormat="1" applyFont="1" applyFill="1" applyBorder="1" applyAlignment="1">
      <alignment horizontal="center"/>
    </xf>
    <xf numFmtId="165" fontId="28" fillId="8" borderId="16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65" fontId="3" fillId="3" borderId="16" xfId="0" applyNumberFormat="1" applyFont="1" applyFill="1" applyBorder="1" applyAlignment="1">
      <alignment horizontal="center"/>
    </xf>
    <xf numFmtId="0" fontId="26" fillId="24" borderId="2" xfId="0" applyFont="1" applyFill="1" applyBorder="1" applyAlignment="1">
      <alignment horizontal="center" vertical="center"/>
    </xf>
    <xf numFmtId="0" fontId="9" fillId="24" borderId="2" xfId="0" applyFont="1" applyFill="1" applyBorder="1" applyAlignment="1">
      <alignment horizontal="left" vertical="center" wrapText="1"/>
    </xf>
    <xf numFmtId="0" fontId="21" fillId="25" borderId="2" xfId="0" applyFont="1" applyFill="1" applyBorder="1" applyAlignment="1">
      <alignment horizontal="left" vertical="center"/>
    </xf>
    <xf numFmtId="0" fontId="21" fillId="26" borderId="2" xfId="0" applyFont="1" applyFill="1" applyBorder="1" applyAlignment="1">
      <alignment horizontal="left" vertical="center"/>
    </xf>
    <xf numFmtId="0" fontId="21" fillId="27" borderId="2" xfId="0" applyFont="1" applyFill="1" applyBorder="1" applyAlignment="1">
      <alignment horizontal="left" vertical="center"/>
    </xf>
    <xf numFmtId="0" fontId="21" fillId="23" borderId="2" xfId="0" applyFont="1" applyFill="1" applyBorder="1" applyAlignment="1">
      <alignment horizontal="left" vertical="center"/>
    </xf>
    <xf numFmtId="0" fontId="0" fillId="24" borderId="2" xfId="0" applyFill="1" applyBorder="1"/>
    <xf numFmtId="0" fontId="0" fillId="27" borderId="2" xfId="0" applyFill="1" applyBorder="1"/>
    <xf numFmtId="0" fontId="54" fillId="23" borderId="2" xfId="0" applyFont="1" applyFill="1" applyBorder="1" applyAlignment="1">
      <alignment horizontal="center" vertical="center"/>
    </xf>
    <xf numFmtId="165" fontId="55" fillId="25" borderId="2" xfId="0" applyNumberFormat="1" applyFont="1" applyFill="1" applyBorder="1" applyAlignment="1">
      <alignment horizontal="right" vertical="center"/>
    </xf>
    <xf numFmtId="165" fontId="56" fillId="24" borderId="2" xfId="0" applyNumberFormat="1" applyFont="1" applyFill="1" applyBorder="1" applyAlignment="1">
      <alignment horizontal="right" vertical="center"/>
    </xf>
    <xf numFmtId="165" fontId="55" fillId="26" borderId="2" xfId="0" applyNumberFormat="1" applyFont="1" applyFill="1" applyBorder="1" applyAlignment="1">
      <alignment horizontal="right" vertical="center"/>
    </xf>
    <xf numFmtId="0" fontId="55" fillId="23" borderId="2" xfId="0" applyFont="1" applyFill="1" applyBorder="1" applyAlignment="1">
      <alignment horizontal="center" vertical="center"/>
    </xf>
    <xf numFmtId="165" fontId="32" fillId="7" borderId="4" xfId="0" applyNumberFormat="1" applyFont="1" applyFill="1" applyBorder="1" applyAlignment="1">
      <alignment horizontal="right" vertical="center"/>
    </xf>
    <xf numFmtId="165" fontId="32" fillId="12" borderId="5" xfId="0" applyNumberFormat="1" applyFont="1" applyFill="1" applyBorder="1" applyAlignment="1">
      <alignment horizontal="right" vertical="center"/>
    </xf>
    <xf numFmtId="3" fontId="21" fillId="11" borderId="2" xfId="0" applyNumberFormat="1" applyFont="1" applyFill="1" applyBorder="1" applyAlignment="1">
      <alignment horizontal="left" vertical="center"/>
    </xf>
    <xf numFmtId="3" fontId="0" fillId="11" borderId="2" xfId="0" applyNumberFormat="1" applyFill="1" applyBorder="1"/>
    <xf numFmtId="3" fontId="21" fillId="11" borderId="2" xfId="0" applyNumberFormat="1" applyFont="1" applyFill="1" applyBorder="1" applyAlignment="1">
      <alignment horizontal="right" vertical="center"/>
    </xf>
    <xf numFmtId="3" fontId="25" fillId="8" borderId="2" xfId="0" applyNumberFormat="1" applyFont="1" applyFill="1" applyBorder="1" applyAlignment="1">
      <alignment horizontal="left" vertical="center"/>
    </xf>
    <xf numFmtId="3" fontId="0" fillId="8" borderId="2" xfId="0" applyNumberFormat="1" applyFill="1" applyBorder="1"/>
    <xf numFmtId="3" fontId="35" fillId="8" borderId="4" xfId="0" applyNumberFormat="1" applyFont="1" applyFill="1" applyBorder="1" applyAlignment="1">
      <alignment horizontal="right" vertical="center"/>
    </xf>
    <xf numFmtId="3" fontId="21" fillId="18" borderId="2" xfId="0" applyNumberFormat="1" applyFont="1" applyFill="1" applyBorder="1" applyAlignment="1">
      <alignment horizontal="left" vertical="center"/>
    </xf>
    <xf numFmtId="3" fontId="0" fillId="18" borderId="2" xfId="0" applyNumberFormat="1" applyFill="1" applyBorder="1"/>
    <xf numFmtId="3" fontId="31" fillId="9" borderId="2" xfId="0" applyNumberFormat="1" applyFont="1" applyFill="1" applyBorder="1" applyAlignment="1">
      <alignment horizontal="left" vertical="center"/>
    </xf>
    <xf numFmtId="3" fontId="0" fillId="9" borderId="2" xfId="0" applyNumberFormat="1" applyFill="1" applyBorder="1"/>
    <xf numFmtId="3" fontId="36" fillId="9" borderId="2" xfId="0" applyNumberFormat="1" applyFont="1" applyFill="1" applyBorder="1" applyAlignment="1">
      <alignment horizontal="left" vertical="center"/>
    </xf>
    <xf numFmtId="3" fontId="37" fillId="9" borderId="5" xfId="0" applyNumberFormat="1" applyFont="1" applyFill="1" applyBorder="1" applyAlignment="1">
      <alignment horizontal="right" vertical="center"/>
    </xf>
    <xf numFmtId="3" fontId="38" fillId="19" borderId="2" xfId="0" applyNumberFormat="1" applyFont="1" applyFill="1" applyBorder="1" applyAlignment="1">
      <alignment horizontal="left" vertical="center"/>
    </xf>
    <xf numFmtId="3" fontId="0" fillId="19" borderId="2" xfId="0" applyNumberFormat="1" applyFill="1" applyBorder="1"/>
    <xf numFmtId="3" fontId="39" fillId="19" borderId="6" xfId="0" applyNumberFormat="1" applyFont="1" applyFill="1" applyBorder="1" applyAlignment="1">
      <alignment horizontal="right" vertical="center"/>
    </xf>
    <xf numFmtId="3" fontId="40" fillId="10" borderId="2" xfId="0" applyNumberFormat="1" applyFont="1" applyFill="1" applyBorder="1" applyAlignment="1">
      <alignment horizontal="left" vertical="center"/>
    </xf>
    <xf numFmtId="3" fontId="0" fillId="10" borderId="2" xfId="0" applyNumberFormat="1" applyFill="1" applyBorder="1"/>
    <xf numFmtId="3" fontId="41" fillId="10" borderId="2" xfId="0" applyNumberFormat="1" applyFont="1" applyFill="1" applyBorder="1" applyAlignment="1">
      <alignment horizontal="left" vertical="center"/>
    </xf>
    <xf numFmtId="3" fontId="42" fillId="10" borderId="7" xfId="0" applyNumberFormat="1" applyFont="1" applyFill="1" applyBorder="1" applyAlignment="1">
      <alignment horizontal="right" vertical="center"/>
    </xf>
    <xf numFmtId="3" fontId="43" fillId="14" borderId="2" xfId="0" applyNumberFormat="1" applyFont="1" applyFill="1" applyBorder="1" applyAlignment="1">
      <alignment horizontal="left" vertical="center"/>
    </xf>
    <xf numFmtId="3" fontId="0" fillId="14" borderId="2" xfId="0" applyNumberFormat="1" applyFill="1" applyBorder="1"/>
    <xf numFmtId="3" fontId="44" fillId="14" borderId="8" xfId="0" applyNumberFormat="1" applyFont="1" applyFill="1" applyBorder="1" applyAlignment="1">
      <alignment horizontal="right" vertical="center"/>
    </xf>
    <xf numFmtId="3" fontId="6" fillId="2" borderId="2" xfId="0" applyNumberFormat="1" applyFont="1" applyFill="1" applyBorder="1" applyAlignment="1">
      <alignment horizontal="left" vertical="center"/>
    </xf>
    <xf numFmtId="3" fontId="0" fillId="2" borderId="2" xfId="0" applyNumberFormat="1" applyFill="1" applyBorder="1"/>
    <xf numFmtId="3" fontId="17" fillId="2" borderId="9" xfId="0" applyNumberFormat="1" applyFont="1" applyFill="1" applyBorder="1" applyAlignment="1">
      <alignment horizontal="right" vertical="center"/>
    </xf>
    <xf numFmtId="3" fontId="20" fillId="4" borderId="2" xfId="0" applyNumberFormat="1" applyFont="1" applyFill="1" applyBorder="1" applyAlignment="1">
      <alignment horizontal="left" vertical="center"/>
    </xf>
    <xf numFmtId="3" fontId="0" fillId="4" borderId="2" xfId="0" applyNumberFormat="1" applyFill="1" applyBorder="1"/>
    <xf numFmtId="3" fontId="20" fillId="4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right" vertical="center"/>
    </xf>
    <xf numFmtId="3" fontId="32" fillId="7" borderId="10" xfId="0" applyNumberFormat="1" applyFont="1" applyFill="1" applyBorder="1" applyAlignment="1">
      <alignment horizontal="center" vertical="center"/>
    </xf>
    <xf numFmtId="3" fontId="32" fillId="16" borderId="11" xfId="0" applyNumberFormat="1" applyFont="1" applyFill="1" applyBorder="1" applyAlignment="1">
      <alignment horizontal="center" vertical="center"/>
    </xf>
    <xf numFmtId="3" fontId="45" fillId="17" borderId="2" xfId="0" applyNumberFormat="1" applyFont="1" applyFill="1" applyBorder="1" applyAlignment="1">
      <alignment horizontal="left" vertical="center"/>
    </xf>
    <xf numFmtId="3" fontId="0" fillId="17" borderId="2" xfId="0" applyNumberFormat="1" applyFill="1" applyBorder="1"/>
    <xf numFmtId="3" fontId="46" fillId="17" borderId="2" xfId="0" applyNumberFormat="1" applyFont="1" applyFill="1" applyBorder="1" applyAlignment="1">
      <alignment horizontal="left" vertical="center"/>
    </xf>
    <xf numFmtId="3" fontId="47" fillId="17" borderId="12" xfId="0" applyNumberFormat="1" applyFont="1" applyFill="1" applyBorder="1" applyAlignment="1">
      <alignment horizontal="right" vertical="center"/>
    </xf>
    <xf numFmtId="3" fontId="48" fillId="19" borderId="2" xfId="0" applyNumberFormat="1" applyFont="1" applyFill="1" applyBorder="1" applyAlignment="1">
      <alignment horizontal="left" vertical="center"/>
    </xf>
    <xf numFmtId="3" fontId="6" fillId="16" borderId="2" xfId="0" applyNumberFormat="1" applyFont="1" applyFill="1" applyBorder="1" applyAlignment="1">
      <alignment horizontal="left" vertical="center"/>
    </xf>
    <xf numFmtId="3" fontId="0" fillId="16" borderId="2" xfId="0" applyNumberFormat="1" applyFill="1" applyBorder="1"/>
    <xf numFmtId="3" fontId="18" fillId="16" borderId="9" xfId="0" applyNumberFormat="1" applyFont="1" applyFill="1" applyBorder="1" applyAlignment="1">
      <alignment horizontal="right" vertical="center"/>
    </xf>
    <xf numFmtId="3" fontId="0" fillId="0" borderId="0" xfId="0" applyNumberFormat="1"/>
    <xf numFmtId="165" fontId="28" fillId="8" borderId="2" xfId="0" applyNumberFormat="1" applyFont="1" applyFill="1" applyBorder="1" applyAlignment="1">
      <alignment horizontal="right" vertical="center"/>
    </xf>
    <xf numFmtId="165" fontId="31" fillId="9" borderId="2" xfId="0" applyNumberFormat="1" applyFont="1" applyFill="1" applyBorder="1" applyAlignment="1">
      <alignment horizontal="right" vertical="center"/>
    </xf>
    <xf numFmtId="165" fontId="13" fillId="4" borderId="2" xfId="0" applyNumberFormat="1" applyFont="1" applyFill="1" applyBorder="1" applyAlignment="1">
      <alignment horizontal="center" vertical="center"/>
    </xf>
    <xf numFmtId="165" fontId="6" fillId="7" borderId="1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5F5"/>
      <rgbColor rgb="FFE91E8C"/>
      <rgbColor rgb="FF00FFFF"/>
      <rgbColor rgb="FF800000"/>
      <rgbColor rgb="FF008000"/>
      <rgbColor rgb="FF000080"/>
      <rgbColor rgb="FFC0504D"/>
      <rgbColor rgb="FF7B1FA2"/>
      <rgbColor rgb="FF00796B"/>
      <rgbColor rgb="FFB3B3B3"/>
      <rgbColor rgb="FF878787"/>
      <rgbColor rgb="FF9999FF"/>
      <rgbColor rgb="FFBE4B48"/>
      <rgbColor rgb="FFFFFDE7"/>
      <rgbColor rgb="FFE0F2F1"/>
      <rgbColor rgb="FF660066"/>
      <rgbColor rgb="FFFF8A65"/>
      <rgbColor rgb="FF1565C0"/>
      <rgbColor rgb="FFD9D9D9"/>
      <rgbColor rgb="FF000080"/>
      <rgbColor rgb="FFFF00FF"/>
      <rgbColor rgb="FFFFF0F5"/>
      <rgbColor rgb="FF00FFFF"/>
      <rgbColor rgb="FF800080"/>
      <rgbColor rgb="FF800000"/>
      <rgbColor rgb="FF4F81BD"/>
      <rgbColor rgb="FF0000FF"/>
      <rgbColor rgb="FF00CCFF"/>
      <rgbColor rgb="FFE3F2FD"/>
      <rgbColor rgb="FFE8F5E9"/>
      <rgbColor rgb="FFFBE9E7"/>
      <rgbColor rgb="FFF3E5F5"/>
      <rgbColor rgb="FFFCE4EC"/>
      <rgbColor rgb="FFFFEBEE"/>
      <rgbColor rgb="FFE0E0E0"/>
      <rgbColor rgb="FF4A7EBB"/>
      <rgbColor rgb="FF33CCCC"/>
      <rgbColor rgb="FF98B855"/>
      <rgbColor rgb="FFF9F9F9"/>
      <rgbColor rgb="FFFF9900"/>
      <rgbColor rgb="FFF57F17"/>
      <rgbColor rgb="FF616161"/>
      <rgbColor rgb="FF9BBB59"/>
      <rgbColor rgb="FF1A237E"/>
      <rgbColor rgb="FF2E7D32"/>
      <rgbColor rgb="FF003300"/>
      <rgbColor rgb="FF333300"/>
      <rgbColor rgb="FFD32F2F"/>
      <rgbColor rgb="FFC2185B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d-ID" sz="1800" b="1" strike="noStrike" spc="-1">
                <a:solidFill>
                  <a:srgbClr val="000000"/>
                </a:solidFill>
                <a:latin typeface="Calibri"/>
              </a:rPr>
              <a:t>Ringkasan Keuangan Bulan 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Grafik'!$B$4</c:f>
              <c:strCache>
                <c:ptCount val="1"/>
                <c:pt idx="0">
                  <c:v>JUMLAH (Rp)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d-ID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Grafik'!$A$5:$A$8</c:f>
              <c:strCache>
                <c:ptCount val="4"/>
                <c:pt idx="0">
                  <c:v>Uang Masuk</c:v>
                </c:pt>
                <c:pt idx="1">
                  <c:v>Biaya Bahan</c:v>
                </c:pt>
                <c:pt idx="2">
                  <c:v>Biaya Lain</c:v>
                </c:pt>
                <c:pt idx="3">
                  <c:v>Keuntungan</c:v>
                </c:pt>
              </c:strCache>
            </c:strRef>
          </c:cat>
          <c:val>
            <c:numRef>
              <c:f>'📊 Grafik'!$B$5:$B$8</c:f>
              <c:numCache>
                <c:formatCode>"Rp"#,##0</c:formatCode>
                <c:ptCount val="4"/>
                <c:pt idx="0">
                  <c:v>5725000</c:v>
                </c:pt>
                <c:pt idx="1">
                  <c:v>2377000</c:v>
                </c:pt>
                <c:pt idx="2">
                  <c:v>425000</c:v>
                </c:pt>
                <c:pt idx="3">
                  <c:v>2923000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3-4634-A82B-FB28F3022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14525"/>
        <c:axId val="70795773"/>
      </c:barChart>
      <c:catAx>
        <c:axId val="228145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70795773"/>
        <c:crosses val="autoZero"/>
        <c:auto val="1"/>
        <c:lblAlgn val="ctr"/>
        <c:lblOffset val="100"/>
        <c:noMultiLvlLbl val="0"/>
      </c:catAx>
      <c:valAx>
        <c:axId val="707957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d-ID" sz="1000" b="1" strike="noStrike" spc="-1">
                    <a:solidFill>
                      <a:srgbClr val="000000"/>
                    </a:solidFill>
                    <a:latin typeface="Calibri"/>
                  </a:rPr>
                  <a:t>Rupiah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228145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d-ID" sz="1800" b="1" strike="noStrike" spc="-1">
                <a:solidFill>
                  <a:srgbClr val="000000"/>
                </a:solidFill>
                <a:latin typeface="Calibri"/>
              </a:rPr>
              <a:t>Komposisi Biaya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6B3-4AF4-8838-0B19B0B290E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6B3-4AF4-8838-0B19B0B290E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86B3-4AF4-8838-0B19B0B290E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id-ID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B3-4AF4-8838-0B19B0B290E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id-ID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B3-4AF4-8838-0B19B0B290E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id-ID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B3-4AF4-8838-0B19B0B290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d-ID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Grafik'!$A$5:$A$7</c:f>
              <c:strCache>
                <c:ptCount val="3"/>
                <c:pt idx="0">
                  <c:v>Uang Masuk</c:v>
                </c:pt>
                <c:pt idx="1">
                  <c:v>Biaya Bahan</c:v>
                </c:pt>
                <c:pt idx="2">
                  <c:v>Biaya Lain</c:v>
                </c:pt>
              </c:strCache>
            </c:strRef>
          </c:cat>
          <c:val>
            <c:numRef>
              <c:f>'📊 Grafik'!$B$5:$B$7</c:f>
              <c:numCache>
                <c:formatCode>"Rp"#,##0</c:formatCode>
                <c:ptCount val="3"/>
                <c:pt idx="0">
                  <c:v>5725000</c:v>
                </c:pt>
                <c:pt idx="1">
                  <c:v>2377000</c:v>
                </c:pt>
                <c:pt idx="2">
                  <c:v>425000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B3-4AF4-8838-0B19B0B29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d-ID" sz="1800" b="1" strike="noStrike" spc="-1">
                <a:solidFill>
                  <a:srgbClr val="000000"/>
                </a:solidFill>
                <a:latin typeface="Calibri"/>
              </a:rPr>
              <a:t>Tren Keuangan Bulanan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'📊 Grafik'!$B$50</c:f>
              <c:strCache>
                <c:ptCount val="1"/>
                <c:pt idx="0">
                  <c:v>UANG MASUK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d-ID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Grafik'!$A$51:$A$62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'📊 Grafik'!$B$51:$B$62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59-4893-B779-689C8D69A87B}"/>
            </c:ext>
          </c:extLst>
        </c:ser>
        <c:ser>
          <c:idx val="1"/>
          <c:order val="1"/>
          <c:tx>
            <c:strRef>
              <c:f>'📊 Grafik'!$C$50</c:f>
              <c:strCache>
                <c:ptCount val="1"/>
                <c:pt idx="0">
                  <c:v>TOTAL BIAYA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d-ID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Grafik'!$A$51:$A$62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'📊 Grafik'!$C$51:$C$62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59-4893-B779-689C8D69A87B}"/>
            </c:ext>
          </c:extLst>
        </c:ser>
        <c:ser>
          <c:idx val="2"/>
          <c:order val="2"/>
          <c:tx>
            <c:strRef>
              <c:f>'📊 Grafik'!$D$50</c:f>
              <c:strCache>
                <c:ptCount val="1"/>
                <c:pt idx="0">
                  <c:v>KEUNTUNGAN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d-ID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Grafik'!$A$51:$A$62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'📊 Grafik'!$D$51:$D$62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B59-4893-B779-689C8D69A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362203"/>
        <c:axId val="78736428"/>
      </c:lineChart>
      <c:catAx>
        <c:axId val="213622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d-ID" sz="1000" b="1" strike="noStrike" spc="-1">
                    <a:solidFill>
                      <a:srgbClr val="000000"/>
                    </a:solidFill>
                    <a:latin typeface="Calibri"/>
                  </a:rPr>
                  <a:t>Bulan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78736428"/>
        <c:crosses val="autoZero"/>
        <c:auto val="1"/>
        <c:lblAlgn val="ctr"/>
        <c:lblOffset val="100"/>
        <c:noMultiLvlLbl val="0"/>
      </c:catAx>
      <c:valAx>
        <c:axId val="787364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d-ID" sz="1000" b="1" strike="noStrike" spc="-1">
                    <a:solidFill>
                      <a:srgbClr val="000000"/>
                    </a:solidFill>
                    <a:latin typeface="Calibri"/>
                  </a:rPr>
                  <a:t>Rupiah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213622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d-ID" sz="1800" b="1" strike="noStrike" spc="-1">
                <a:solidFill>
                  <a:srgbClr val="000000"/>
                </a:solidFill>
                <a:latin typeface="Calibri"/>
              </a:rPr>
              <a:t>Tren Keuangan Bulanan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Rekap Bulanan'!$C$4</c:f>
              <c:strCache>
                <c:ptCount val="1"/>
                <c:pt idx="0">
                  <c:v>UANG MASUK
(Rp)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d-ID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Rekap Bulanan'!$B$5:$B$16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'📅 Rekap Bulanan'!$C$5:$C$16</c:f>
              <c:numCache>
                <c:formatCode>"Rp"#,##0</c:formatCode>
                <c:ptCount val="12"/>
                <c:pt idx="0">
                  <c:v>5725000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E8-47B7-8F74-0E4CBF5836B3}"/>
            </c:ext>
          </c:extLst>
        </c:ser>
        <c:ser>
          <c:idx val="1"/>
          <c:order val="1"/>
          <c:tx>
            <c:strRef>
              <c:f>'📅 Rekap Bulanan'!$D$4</c:f>
              <c:strCache>
                <c:ptCount val="1"/>
                <c:pt idx="0">
                  <c:v>BIAYA BAHAN
(Rp)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d-ID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Rekap Bulanan'!$B$5:$B$16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'📅 Rekap Bulanan'!$D$5:$D$16</c:f>
              <c:numCache>
                <c:formatCode>"Rp"#,##0</c:formatCode>
                <c:ptCount val="12"/>
                <c:pt idx="0">
                  <c:v>2377000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E8-47B7-8F74-0E4CBF5836B3}"/>
            </c:ext>
          </c:extLst>
        </c:ser>
        <c:ser>
          <c:idx val="2"/>
          <c:order val="2"/>
          <c:tx>
            <c:strRef>
              <c:f>'📅 Rekap Bulanan'!$E$4</c:f>
              <c:strCache>
                <c:ptCount val="1"/>
                <c:pt idx="0">
                  <c:v>BIAYA LAIN
(Rp)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d-ID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Rekap Bulanan'!$B$5:$B$16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'📅 Rekap Bulanan'!$E$5:$E$16</c:f>
              <c:numCache>
                <c:formatCode>"Rp"#,##0</c:formatCode>
                <c:ptCount val="12"/>
                <c:pt idx="0">
                  <c:v>425000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CE8-47B7-8F74-0E4CBF5836B3}"/>
            </c:ext>
          </c:extLst>
        </c:ser>
        <c:ser>
          <c:idx val="3"/>
          <c:order val="3"/>
          <c:tx>
            <c:strRef>
              <c:f>'📅 Rekap Bulanan'!$F$4</c:f>
              <c:strCache>
                <c:ptCount val="1"/>
                <c:pt idx="0">
                  <c:v>TOTAL BIAYA
(Rp)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d-ID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Rekap Bulanan'!$B$5:$B$16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'📅 Rekap Bulanan'!$F$5:$F$16</c:f>
              <c:numCache>
                <c:formatCode>"Rp"#,##0</c:formatCode>
                <c:ptCount val="12"/>
                <c:pt idx="0">
                  <c:v>2802000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CE8-47B7-8F74-0E4CBF5836B3}"/>
            </c:ext>
          </c:extLst>
        </c:ser>
        <c:ser>
          <c:idx val="4"/>
          <c:order val="4"/>
          <c:tx>
            <c:strRef>
              <c:f>'📅 Rekap Bulanan'!$G$4</c:f>
              <c:strCache>
                <c:ptCount val="1"/>
                <c:pt idx="0">
                  <c:v>KEUNTUNGAN
(Rp)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d-ID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Rekap Bulanan'!$B$5:$B$16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'📅 Rekap Bulanan'!$G$5:$G$16</c:f>
              <c:numCache>
                <c:formatCode>"Rp"#,##0</c:formatCode>
                <c:ptCount val="12"/>
                <c:pt idx="0">
                  <c:v>2923000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CE8-47B7-8F74-0E4CBF583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368817"/>
        <c:axId val="45573184"/>
      </c:lineChart>
      <c:catAx>
        <c:axId val="123688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d-ID" sz="1000" b="1" strike="noStrike" spc="-1">
                    <a:solidFill>
                      <a:srgbClr val="000000"/>
                    </a:solidFill>
                    <a:latin typeface="Calibri"/>
                  </a:rPr>
                  <a:t>Bulan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45573184"/>
        <c:crosses val="autoZero"/>
        <c:auto val="1"/>
        <c:lblAlgn val="ctr"/>
        <c:lblOffset val="100"/>
        <c:noMultiLvlLbl val="0"/>
      </c:catAx>
      <c:valAx>
        <c:axId val="455731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d-ID" sz="1000" b="1" strike="noStrike" spc="-1">
                    <a:solidFill>
                      <a:srgbClr val="000000"/>
                    </a:solidFill>
                    <a:latin typeface="Calibri"/>
                  </a:rPr>
                  <a:t>Rupiah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123688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</xdr:col>
      <xdr:colOff>510970</xdr:colOff>
      <xdr:row>36</xdr:row>
      <xdr:rowOff>85320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50800</xdr:colOff>
      <xdr:row>9</xdr:row>
      <xdr:rowOff>177800</xdr:rowOff>
    </xdr:from>
    <xdr:to>
      <xdr:col>14</xdr:col>
      <xdr:colOff>325640</xdr:colOff>
      <xdr:row>32</xdr:row>
      <xdr:rowOff>142820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64</xdr:row>
      <xdr:rowOff>0</xdr:rowOff>
    </xdr:from>
    <xdr:to>
      <xdr:col>9</xdr:col>
      <xdr:colOff>333490</xdr:colOff>
      <xdr:row>94</xdr:row>
      <xdr:rowOff>43200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8</xdr:col>
      <xdr:colOff>200800</xdr:colOff>
      <xdr:row>45</xdr:row>
      <xdr:rowOff>86040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2185B"/>
  </sheetPr>
  <dimension ref="B1:F24"/>
  <sheetViews>
    <sheetView showGridLines="0" topLeftCell="A17" zoomScaleNormal="100" workbookViewId="0">
      <selection activeCell="I23" sqref="I23"/>
    </sheetView>
  </sheetViews>
  <sheetFormatPr defaultColWidth="8.6328125" defaultRowHeight="14.5" x14ac:dyDescent="0.35"/>
  <cols>
    <col min="1" max="1" width="3" customWidth="1"/>
    <col min="2" max="2" width="22" customWidth="1"/>
    <col min="3" max="6" width="18" customWidth="1"/>
    <col min="7" max="7" width="3" customWidth="1"/>
  </cols>
  <sheetData>
    <row r="1" spans="2:6" ht="34.5" customHeight="1" x14ac:dyDescent="0.35">
      <c r="B1" s="107" t="s">
        <v>0</v>
      </c>
      <c r="C1" s="107"/>
      <c r="D1" s="107"/>
      <c r="E1" s="107"/>
      <c r="F1" s="107"/>
    </row>
    <row r="2" spans="2:6" ht="15" customHeight="1" x14ac:dyDescent="0.35">
      <c r="B2" s="107"/>
      <c r="C2" s="107"/>
      <c r="D2" s="107"/>
      <c r="E2" s="107"/>
      <c r="F2" s="107"/>
    </row>
    <row r="3" spans="2:6" ht="15" customHeight="1" x14ac:dyDescent="0.35">
      <c r="B3" s="107"/>
      <c r="C3" s="107"/>
      <c r="D3" s="107"/>
      <c r="E3" s="107"/>
      <c r="F3" s="107"/>
    </row>
    <row r="4" spans="2:6" ht="18" customHeight="1" x14ac:dyDescent="0.35">
      <c r="B4" s="108" t="s">
        <v>1</v>
      </c>
      <c r="C4" s="108"/>
      <c r="D4" s="108"/>
      <c r="E4" s="108"/>
      <c r="F4" s="108"/>
    </row>
    <row r="5" spans="2:6" ht="7.5" customHeight="1" x14ac:dyDescent="0.35"/>
    <row r="6" spans="2:6" ht="21.75" customHeight="1" x14ac:dyDescent="0.35">
      <c r="B6" s="104" t="s">
        <v>2</v>
      </c>
      <c r="C6" s="104"/>
      <c r="D6" s="109" t="s">
        <v>3</v>
      </c>
      <c r="E6" s="109"/>
      <c r="F6" s="109"/>
    </row>
    <row r="7" spans="2:6" ht="21.75" customHeight="1" x14ac:dyDescent="0.35">
      <c r="B7" s="104" t="s">
        <v>4</v>
      </c>
      <c r="C7" s="104"/>
      <c r="D7" s="105" t="s">
        <v>5</v>
      </c>
      <c r="E7" s="105"/>
      <c r="F7" s="105"/>
    </row>
    <row r="8" spans="2:6" ht="21.75" customHeight="1" x14ac:dyDescent="0.35">
      <c r="B8" s="104" t="s">
        <v>6</v>
      </c>
      <c r="C8" s="104"/>
      <c r="D8" s="105" t="s">
        <v>7</v>
      </c>
      <c r="E8" s="105"/>
      <c r="F8" s="105"/>
    </row>
    <row r="9" spans="2:6" ht="9.75" customHeight="1" x14ac:dyDescent="0.35"/>
    <row r="10" spans="2:6" ht="24" customHeight="1" x14ac:dyDescent="0.35">
      <c r="B10" s="106" t="s">
        <v>8</v>
      </c>
      <c r="C10" s="106"/>
      <c r="D10" s="106"/>
      <c r="E10" s="106"/>
      <c r="F10" s="106"/>
    </row>
    <row r="11" spans="2:6" ht="21.75" customHeight="1" x14ac:dyDescent="0.35">
      <c r="B11" s="1" t="s">
        <v>9</v>
      </c>
      <c r="C11" s="2" t="s">
        <v>10</v>
      </c>
      <c r="D11" s="101" t="s">
        <v>11</v>
      </c>
      <c r="E11" s="101"/>
      <c r="F11" s="101"/>
    </row>
    <row r="12" spans="2:6" ht="21.75" customHeight="1" x14ac:dyDescent="0.35">
      <c r="B12" s="1" t="s">
        <v>12</v>
      </c>
      <c r="C12" s="2" t="s">
        <v>13</v>
      </c>
      <c r="D12" s="101" t="s">
        <v>14</v>
      </c>
      <c r="E12" s="101"/>
      <c r="F12" s="101"/>
    </row>
    <row r="13" spans="2:6" ht="21.75" customHeight="1" x14ac:dyDescent="0.35">
      <c r="B13" s="1" t="s">
        <v>15</v>
      </c>
      <c r="C13" s="2" t="s">
        <v>16</v>
      </c>
      <c r="D13" s="101" t="s">
        <v>17</v>
      </c>
      <c r="E13" s="101"/>
      <c r="F13" s="101"/>
    </row>
    <row r="14" spans="2:6" ht="21.75" customHeight="1" x14ac:dyDescent="0.35">
      <c r="B14" s="1" t="s">
        <v>18</v>
      </c>
      <c r="C14" s="2" t="s">
        <v>19</v>
      </c>
      <c r="D14" s="101" t="s">
        <v>20</v>
      </c>
      <c r="E14" s="101"/>
      <c r="F14" s="101"/>
    </row>
    <row r="15" spans="2:6" ht="21.75" customHeight="1" x14ac:dyDescent="0.35">
      <c r="B15" s="1" t="s">
        <v>21</v>
      </c>
      <c r="C15" s="2" t="s">
        <v>22</v>
      </c>
      <c r="D15" s="101" t="s">
        <v>23</v>
      </c>
      <c r="E15" s="101"/>
      <c r="F15" s="101"/>
    </row>
    <row r="17" spans="2:6" ht="9.75" customHeight="1" x14ac:dyDescent="0.35"/>
    <row r="18" spans="2:6" ht="24" customHeight="1" x14ac:dyDescent="0.35">
      <c r="B18" s="102" t="s">
        <v>24</v>
      </c>
      <c r="C18" s="102"/>
      <c r="D18" s="102"/>
      <c r="E18" s="102"/>
      <c r="F18" s="102"/>
    </row>
    <row r="19" spans="2:6" ht="24" customHeight="1" x14ac:dyDescent="0.35">
      <c r="B19" s="3" t="s">
        <v>25</v>
      </c>
      <c r="C19" s="3"/>
      <c r="D19" s="3" t="s">
        <v>26</v>
      </c>
      <c r="E19" s="4"/>
      <c r="F19" s="4"/>
    </row>
    <row r="20" spans="2:6" ht="27.75" customHeight="1" x14ac:dyDescent="0.35">
      <c r="B20" s="103" t="s">
        <v>27</v>
      </c>
      <c r="C20" s="103"/>
      <c r="D20" s="85">
        <f>'📦 Pesanan'!G3</f>
        <v>0</v>
      </c>
      <c r="E20" s="5"/>
      <c r="F20" s="5"/>
    </row>
    <row r="21" spans="2:6" ht="27.75" customHeight="1" x14ac:dyDescent="0.35">
      <c r="B21" s="98" t="s">
        <v>28</v>
      </c>
      <c r="C21" s="98"/>
      <c r="D21" s="86">
        <f>'🛒 Belanja Bahan'!E3</f>
        <v>2377000</v>
      </c>
      <c r="E21" s="6"/>
      <c r="F21" s="6"/>
    </row>
    <row r="22" spans="2:6" ht="27.75" customHeight="1" x14ac:dyDescent="0.35">
      <c r="B22" s="99" t="s">
        <v>29</v>
      </c>
      <c r="C22" s="99"/>
      <c r="D22" s="87">
        <f>'💸 Biaya Lain'!D3</f>
        <v>425000</v>
      </c>
      <c r="E22" s="7"/>
      <c r="F22" s="7"/>
    </row>
    <row r="23" spans="2:6" ht="27.75" customHeight="1" x14ac:dyDescent="0.35">
      <c r="B23" s="98" t="s">
        <v>30</v>
      </c>
      <c r="C23" s="98"/>
      <c r="D23" s="86">
        <f>D21+D22</f>
        <v>2802000</v>
      </c>
      <c r="E23" s="6"/>
      <c r="F23" s="6"/>
    </row>
    <row r="24" spans="2:6" ht="31.5" customHeight="1" x14ac:dyDescent="0.35">
      <c r="B24" s="100" t="s">
        <v>31</v>
      </c>
      <c r="C24" s="100"/>
      <c r="D24" s="88">
        <f>D20-D23</f>
        <v>-2802000</v>
      </c>
      <c r="E24" s="8"/>
      <c r="F24" s="8"/>
    </row>
  </sheetData>
  <mergeCells count="20">
    <mergeCell ref="B1:F3"/>
    <mergeCell ref="B4:F4"/>
    <mergeCell ref="B6:C6"/>
    <mergeCell ref="D6:F6"/>
    <mergeCell ref="B7:C7"/>
    <mergeCell ref="D7:F7"/>
    <mergeCell ref="B8:C8"/>
    <mergeCell ref="D8:F8"/>
    <mergeCell ref="B10:F10"/>
    <mergeCell ref="D11:F11"/>
    <mergeCell ref="D12:F12"/>
    <mergeCell ref="B21:C21"/>
    <mergeCell ref="B22:C22"/>
    <mergeCell ref="B23:C23"/>
    <mergeCell ref="B24:C24"/>
    <mergeCell ref="D13:F13"/>
    <mergeCell ref="D14:F14"/>
    <mergeCell ref="D15:F15"/>
    <mergeCell ref="B18:F18"/>
    <mergeCell ref="B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96B"/>
  </sheetPr>
  <dimension ref="B1:V348"/>
  <sheetViews>
    <sheetView showGridLines="0" zoomScale="72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4" sqref="D4"/>
    </sheetView>
  </sheetViews>
  <sheetFormatPr defaultColWidth="8.6328125" defaultRowHeight="14.5" x14ac:dyDescent="0.35"/>
  <cols>
    <col min="1" max="1" width="5" customWidth="1"/>
    <col min="2" max="2" width="12" customWidth="1"/>
    <col min="3" max="3" width="22" customWidth="1"/>
    <col min="4" max="4" width="28" customWidth="1"/>
    <col min="5" max="5" width="21.08984375" customWidth="1"/>
    <col min="6" max="6" width="14" customWidth="1"/>
    <col min="7" max="7" width="16" customWidth="1"/>
    <col min="8" max="8" width="14" customWidth="1"/>
    <col min="9" max="9" width="21" customWidth="1"/>
  </cols>
  <sheetData>
    <row r="1" spans="2:22" ht="30" customHeight="1" x14ac:dyDescent="0.35">
      <c r="B1" s="110" t="s">
        <v>32</v>
      </c>
      <c r="C1" s="110"/>
      <c r="D1" s="110"/>
      <c r="E1" s="110"/>
      <c r="F1" s="110"/>
      <c r="G1" s="110"/>
      <c r="H1" s="110"/>
    </row>
    <row r="2" spans="2:22" ht="18" customHeight="1" x14ac:dyDescent="0.35">
      <c r="B2" s="108" t="s">
        <v>33</v>
      </c>
      <c r="C2" s="108"/>
      <c r="D2" s="108"/>
      <c r="E2" s="108"/>
      <c r="F2" s="108"/>
      <c r="G2" s="108"/>
      <c r="H2" s="108"/>
    </row>
    <row r="3" spans="2:22" ht="24" customHeight="1" x14ac:dyDescent="0.35">
      <c r="B3" s="111" t="s">
        <v>34</v>
      </c>
      <c r="C3" s="111"/>
      <c r="D3" s="181">
        <f>SUM(H8:H348)</f>
        <v>5725000</v>
      </c>
      <c r="E3" s="158"/>
      <c r="F3" s="158"/>
      <c r="G3" s="158"/>
      <c r="H3" s="158"/>
    </row>
    <row r="4" spans="2:22" ht="7.5" customHeight="1" x14ac:dyDescent="0.35"/>
    <row r="5" spans="2:22" ht="7.5" customHeight="1" x14ac:dyDescent="0.35"/>
    <row r="6" spans="2:22" ht="18" customHeight="1" x14ac:dyDescent="0.35">
      <c r="B6" s="97" t="s">
        <v>35</v>
      </c>
      <c r="C6" s="97"/>
      <c r="D6" s="97"/>
      <c r="E6" s="97"/>
      <c r="F6" s="97"/>
      <c r="G6" s="97"/>
      <c r="H6" s="97"/>
    </row>
    <row r="7" spans="2:22" ht="36" customHeight="1" x14ac:dyDescent="0.35">
      <c r="B7" s="9" t="s">
        <v>36</v>
      </c>
      <c r="C7" s="10" t="s">
        <v>37</v>
      </c>
      <c r="D7" s="10" t="s">
        <v>38</v>
      </c>
      <c r="E7" s="10" t="s">
        <v>39</v>
      </c>
      <c r="F7" s="10" t="s">
        <v>40</v>
      </c>
      <c r="G7" s="10" t="s">
        <v>41</v>
      </c>
      <c r="H7" s="11" t="s">
        <v>42</v>
      </c>
      <c r="I7" s="10" t="s">
        <v>43</v>
      </c>
      <c r="V7" s="93"/>
    </row>
    <row r="8" spans="2:22" ht="19.5" customHeight="1" x14ac:dyDescent="0.35">
      <c r="B8" s="12">
        <v>1</v>
      </c>
      <c r="C8" s="89">
        <v>45662</v>
      </c>
      <c r="D8" s="14" t="s">
        <v>45</v>
      </c>
      <c r="E8" s="14" t="s">
        <v>46</v>
      </c>
      <c r="F8" s="13">
        <v>50</v>
      </c>
      <c r="G8" s="90">
        <v>28000</v>
      </c>
      <c r="H8" s="92">
        <f t="shared" ref="H8:H71" si="0">IF(G8*F8&gt;0,G8*F8,"")</f>
        <v>1400000</v>
      </c>
      <c r="I8" s="15"/>
    </row>
    <row r="9" spans="2:22" ht="19.5" customHeight="1" x14ac:dyDescent="0.35">
      <c r="B9" s="12">
        <v>2</v>
      </c>
      <c r="C9" s="89">
        <v>45663</v>
      </c>
      <c r="D9" s="14" t="s">
        <v>48</v>
      </c>
      <c r="E9" s="14" t="s">
        <v>49</v>
      </c>
      <c r="F9" s="13">
        <v>1</v>
      </c>
      <c r="G9" s="90">
        <v>350000</v>
      </c>
      <c r="H9" s="92">
        <f t="shared" si="0"/>
        <v>350000</v>
      </c>
      <c r="I9" s="16"/>
    </row>
    <row r="10" spans="2:22" ht="19.5" customHeight="1" x14ac:dyDescent="0.35">
      <c r="B10" s="12">
        <v>3</v>
      </c>
      <c r="C10" s="89">
        <v>45664</v>
      </c>
      <c r="D10" s="14" t="s">
        <v>52</v>
      </c>
      <c r="E10" s="14" t="s">
        <v>53</v>
      </c>
      <c r="F10" s="13">
        <v>2</v>
      </c>
      <c r="G10" s="90">
        <v>180000</v>
      </c>
      <c r="H10" s="92">
        <f t="shared" si="0"/>
        <v>360000</v>
      </c>
      <c r="I10" s="15"/>
    </row>
    <row r="11" spans="2:22" ht="19.5" customHeight="1" x14ac:dyDescent="0.35">
      <c r="B11" s="12">
        <v>4</v>
      </c>
      <c r="C11" s="89">
        <v>45665</v>
      </c>
      <c r="D11" s="14" t="s">
        <v>55</v>
      </c>
      <c r="E11" s="14" t="s">
        <v>56</v>
      </c>
      <c r="F11" s="13">
        <v>30</v>
      </c>
      <c r="G11" s="90">
        <v>15000</v>
      </c>
      <c r="H11" s="92">
        <f t="shared" si="0"/>
        <v>450000</v>
      </c>
      <c r="I11" s="16"/>
    </row>
    <row r="12" spans="2:22" ht="19.5" customHeight="1" x14ac:dyDescent="0.35">
      <c r="B12" s="12">
        <v>5</v>
      </c>
      <c r="C12" s="89">
        <v>45666</v>
      </c>
      <c r="D12" s="14" t="s">
        <v>58</v>
      </c>
      <c r="E12" s="14" t="s">
        <v>59</v>
      </c>
      <c r="F12" s="13">
        <v>100</v>
      </c>
      <c r="G12" s="90">
        <v>25000</v>
      </c>
      <c r="H12" s="92">
        <f t="shared" si="0"/>
        <v>2500000</v>
      </c>
      <c r="I12" s="15"/>
    </row>
    <row r="13" spans="2:22" ht="19.5" customHeight="1" x14ac:dyDescent="0.35">
      <c r="B13" s="12">
        <v>6</v>
      </c>
      <c r="C13" s="89">
        <v>45667</v>
      </c>
      <c r="D13" s="14" t="s">
        <v>61</v>
      </c>
      <c r="E13" s="14" t="s">
        <v>62</v>
      </c>
      <c r="F13" s="13">
        <v>5</v>
      </c>
      <c r="G13" s="90">
        <v>85000</v>
      </c>
      <c r="H13" s="92">
        <f t="shared" si="0"/>
        <v>425000</v>
      </c>
      <c r="I13" s="16"/>
    </row>
    <row r="14" spans="2:22" ht="19.5" customHeight="1" x14ac:dyDescent="0.35">
      <c r="B14" s="12">
        <v>7</v>
      </c>
      <c r="C14" s="89">
        <v>45668</v>
      </c>
      <c r="D14" s="14" t="s">
        <v>64</v>
      </c>
      <c r="E14" s="14" t="s">
        <v>65</v>
      </c>
      <c r="F14" s="13">
        <v>20</v>
      </c>
      <c r="G14" s="90">
        <v>12000</v>
      </c>
      <c r="H14" s="92">
        <f t="shared" si="0"/>
        <v>240000</v>
      </c>
      <c r="I14" s="15"/>
    </row>
    <row r="15" spans="2:22" ht="19.5" customHeight="1" x14ac:dyDescent="0.35">
      <c r="B15" s="12">
        <v>8</v>
      </c>
      <c r="C15" s="17"/>
      <c r="D15" s="17"/>
      <c r="E15" s="17"/>
      <c r="F15" s="17"/>
      <c r="G15" s="91"/>
      <c r="H15" s="92" t="str">
        <f t="shared" si="0"/>
        <v/>
      </c>
      <c r="I15" s="16"/>
    </row>
    <row r="16" spans="2:22" ht="19.5" customHeight="1" x14ac:dyDescent="0.35">
      <c r="B16" s="12">
        <v>9</v>
      </c>
      <c r="C16" s="17"/>
      <c r="D16" s="17"/>
      <c r="E16" s="17"/>
      <c r="F16" s="17"/>
      <c r="G16" s="91"/>
      <c r="H16" s="92" t="str">
        <f t="shared" si="0"/>
        <v/>
      </c>
      <c r="I16" s="15"/>
    </row>
    <row r="17" spans="2:9" ht="19.5" customHeight="1" x14ac:dyDescent="0.35">
      <c r="B17" s="12">
        <v>10</v>
      </c>
      <c r="C17" s="17"/>
      <c r="D17" s="17"/>
      <c r="E17" s="17"/>
      <c r="F17" s="17"/>
      <c r="G17" s="91"/>
      <c r="H17" s="92" t="str">
        <f t="shared" si="0"/>
        <v/>
      </c>
      <c r="I17" s="16"/>
    </row>
    <row r="18" spans="2:9" ht="19.5" customHeight="1" x14ac:dyDescent="0.35">
      <c r="B18" s="12">
        <v>11</v>
      </c>
      <c r="C18" s="17"/>
      <c r="D18" s="17"/>
      <c r="E18" s="17"/>
      <c r="F18" s="17"/>
      <c r="G18" s="91"/>
      <c r="H18" s="92" t="str">
        <f t="shared" si="0"/>
        <v/>
      </c>
      <c r="I18" s="15"/>
    </row>
    <row r="19" spans="2:9" ht="19.5" customHeight="1" x14ac:dyDescent="0.35">
      <c r="B19" s="12">
        <v>12</v>
      </c>
      <c r="C19" s="17"/>
      <c r="D19" s="17"/>
      <c r="E19" s="17"/>
      <c r="F19" s="17"/>
      <c r="G19" s="91"/>
      <c r="H19" s="92" t="str">
        <f t="shared" si="0"/>
        <v/>
      </c>
      <c r="I19" s="16"/>
    </row>
    <row r="20" spans="2:9" ht="19.5" customHeight="1" x14ac:dyDescent="0.35">
      <c r="B20" s="12">
        <v>13</v>
      </c>
      <c r="C20" s="17"/>
      <c r="D20" s="17"/>
      <c r="E20" s="17"/>
      <c r="F20" s="17"/>
      <c r="G20" s="91"/>
      <c r="H20" s="92" t="str">
        <f t="shared" si="0"/>
        <v/>
      </c>
      <c r="I20" s="15"/>
    </row>
    <row r="21" spans="2:9" ht="19.5" customHeight="1" x14ac:dyDescent="0.35">
      <c r="B21" s="12">
        <v>14</v>
      </c>
      <c r="C21" s="17"/>
      <c r="D21" s="17"/>
      <c r="E21" s="17"/>
      <c r="F21" s="17"/>
      <c r="G21" s="91"/>
      <c r="H21" s="92" t="str">
        <f t="shared" si="0"/>
        <v/>
      </c>
      <c r="I21" s="16"/>
    </row>
    <row r="22" spans="2:9" ht="19.5" customHeight="1" x14ac:dyDescent="0.35">
      <c r="B22" s="12">
        <v>15</v>
      </c>
      <c r="C22" s="17"/>
      <c r="D22" s="17"/>
      <c r="E22" s="17"/>
      <c r="F22" s="17"/>
      <c r="G22" s="91"/>
      <c r="H22" s="92" t="str">
        <f t="shared" si="0"/>
        <v/>
      </c>
      <c r="I22" s="15"/>
    </row>
    <row r="23" spans="2:9" ht="19.5" customHeight="1" x14ac:dyDescent="0.35">
      <c r="B23" s="12">
        <v>16</v>
      </c>
      <c r="C23" s="17"/>
      <c r="D23" s="17"/>
      <c r="E23" s="17"/>
      <c r="F23" s="17"/>
      <c r="G23" s="91"/>
      <c r="H23" s="92" t="str">
        <f t="shared" si="0"/>
        <v/>
      </c>
      <c r="I23" s="16"/>
    </row>
    <row r="24" spans="2:9" ht="19.5" customHeight="1" x14ac:dyDescent="0.35">
      <c r="B24" s="12">
        <v>17</v>
      </c>
      <c r="C24" s="17"/>
      <c r="D24" s="17"/>
      <c r="E24" s="17"/>
      <c r="F24" s="17"/>
      <c r="G24" s="91"/>
      <c r="H24" s="92" t="str">
        <f t="shared" si="0"/>
        <v/>
      </c>
      <c r="I24" s="15"/>
    </row>
    <row r="25" spans="2:9" ht="19.5" customHeight="1" x14ac:dyDescent="0.35">
      <c r="B25" s="12">
        <v>18</v>
      </c>
      <c r="C25" s="17"/>
      <c r="D25" s="17"/>
      <c r="E25" s="17"/>
      <c r="F25" s="17"/>
      <c r="G25" s="91"/>
      <c r="H25" s="92" t="str">
        <f t="shared" si="0"/>
        <v/>
      </c>
      <c r="I25" s="16"/>
    </row>
    <row r="26" spans="2:9" ht="19.5" customHeight="1" x14ac:dyDescent="0.35">
      <c r="B26" s="12">
        <v>19</v>
      </c>
      <c r="C26" s="17"/>
      <c r="D26" s="17"/>
      <c r="E26" s="17"/>
      <c r="F26" s="17"/>
      <c r="G26" s="91"/>
      <c r="H26" s="92" t="str">
        <f t="shared" si="0"/>
        <v/>
      </c>
      <c r="I26" s="15"/>
    </row>
    <row r="27" spans="2:9" ht="19.5" customHeight="1" x14ac:dyDescent="0.35">
      <c r="B27" s="12">
        <v>20</v>
      </c>
      <c r="C27" s="17"/>
      <c r="D27" s="17"/>
      <c r="E27" s="17"/>
      <c r="F27" s="17"/>
      <c r="G27" s="91"/>
      <c r="H27" s="92" t="str">
        <f t="shared" si="0"/>
        <v/>
      </c>
      <c r="I27" s="16"/>
    </row>
    <row r="28" spans="2:9" ht="19.5" customHeight="1" x14ac:dyDescent="0.35">
      <c r="B28" s="12">
        <v>21</v>
      </c>
      <c r="C28" s="17"/>
      <c r="D28" s="17"/>
      <c r="E28" s="17"/>
      <c r="F28" s="17"/>
      <c r="G28" s="91"/>
      <c r="H28" s="92" t="str">
        <f t="shared" si="0"/>
        <v/>
      </c>
      <c r="I28" s="15"/>
    </row>
    <row r="29" spans="2:9" ht="19.5" customHeight="1" x14ac:dyDescent="0.35">
      <c r="B29" s="12">
        <v>22</v>
      </c>
      <c r="C29" s="17"/>
      <c r="D29" s="17"/>
      <c r="E29" s="17"/>
      <c r="F29" s="17"/>
      <c r="G29" s="91"/>
      <c r="H29" s="92" t="str">
        <f t="shared" si="0"/>
        <v/>
      </c>
      <c r="I29" s="16"/>
    </row>
    <row r="30" spans="2:9" ht="19.5" customHeight="1" x14ac:dyDescent="0.35">
      <c r="B30" s="12">
        <v>23</v>
      </c>
      <c r="C30" s="17"/>
      <c r="D30" s="17"/>
      <c r="E30" s="17"/>
      <c r="F30" s="17"/>
      <c r="G30" s="91"/>
      <c r="H30" s="92" t="str">
        <f t="shared" si="0"/>
        <v/>
      </c>
      <c r="I30" s="15"/>
    </row>
    <row r="31" spans="2:9" ht="19.5" customHeight="1" x14ac:dyDescent="0.35">
      <c r="B31" s="12">
        <v>24</v>
      </c>
      <c r="C31" s="17"/>
      <c r="D31" s="17"/>
      <c r="E31" s="17"/>
      <c r="F31" s="17"/>
      <c r="G31" s="91"/>
      <c r="H31" s="92" t="str">
        <f t="shared" si="0"/>
        <v/>
      </c>
      <c r="I31" s="16"/>
    </row>
    <row r="32" spans="2:9" ht="19.5" customHeight="1" x14ac:dyDescent="0.35">
      <c r="B32" s="12">
        <v>25</v>
      </c>
      <c r="C32" s="17"/>
      <c r="D32" s="17"/>
      <c r="E32" s="17"/>
      <c r="F32" s="17"/>
      <c r="G32" s="91"/>
      <c r="H32" s="92" t="str">
        <f t="shared" si="0"/>
        <v/>
      </c>
      <c r="I32" s="15"/>
    </row>
    <row r="33" spans="2:9" ht="19.5" customHeight="1" x14ac:dyDescent="0.35">
      <c r="B33" s="12">
        <v>26</v>
      </c>
      <c r="C33" s="17"/>
      <c r="D33" s="17"/>
      <c r="E33" s="17"/>
      <c r="F33" s="17"/>
      <c r="G33" s="91"/>
      <c r="H33" s="92" t="str">
        <f t="shared" si="0"/>
        <v/>
      </c>
      <c r="I33" s="16"/>
    </row>
    <row r="34" spans="2:9" ht="19.5" customHeight="1" x14ac:dyDescent="0.35">
      <c r="B34" s="12">
        <v>27</v>
      </c>
      <c r="C34" s="17"/>
      <c r="D34" s="17"/>
      <c r="E34" s="17"/>
      <c r="F34" s="17"/>
      <c r="G34" s="91"/>
      <c r="H34" s="92" t="str">
        <f t="shared" si="0"/>
        <v/>
      </c>
      <c r="I34" s="15"/>
    </row>
    <row r="35" spans="2:9" ht="19.5" customHeight="1" x14ac:dyDescent="0.35">
      <c r="B35" s="12">
        <v>28</v>
      </c>
      <c r="C35" s="17"/>
      <c r="D35" s="17"/>
      <c r="E35" s="17"/>
      <c r="F35" s="17"/>
      <c r="G35" s="91"/>
      <c r="H35" s="92" t="str">
        <f t="shared" si="0"/>
        <v/>
      </c>
      <c r="I35" s="16"/>
    </row>
    <row r="36" spans="2:9" ht="19.5" customHeight="1" x14ac:dyDescent="0.35">
      <c r="B36" s="12">
        <v>29</v>
      </c>
      <c r="C36" s="17"/>
      <c r="D36" s="17"/>
      <c r="E36" s="17"/>
      <c r="F36" s="17"/>
      <c r="G36" s="91"/>
      <c r="H36" s="92" t="str">
        <f t="shared" si="0"/>
        <v/>
      </c>
      <c r="I36" s="15"/>
    </row>
    <row r="37" spans="2:9" ht="19.5" customHeight="1" x14ac:dyDescent="0.35">
      <c r="B37" s="12">
        <v>30</v>
      </c>
      <c r="C37" s="17"/>
      <c r="D37" s="17"/>
      <c r="E37" s="17"/>
      <c r="F37" s="17"/>
      <c r="G37" s="91"/>
      <c r="H37" s="92" t="str">
        <f t="shared" si="0"/>
        <v/>
      </c>
      <c r="I37" s="16"/>
    </row>
    <row r="38" spans="2:9" ht="19.5" customHeight="1" x14ac:dyDescent="0.35">
      <c r="B38" s="12">
        <v>31</v>
      </c>
      <c r="C38" s="17"/>
      <c r="D38" s="17"/>
      <c r="E38" s="17"/>
      <c r="F38" s="17"/>
      <c r="G38" s="91"/>
      <c r="H38" s="92" t="str">
        <f t="shared" si="0"/>
        <v/>
      </c>
      <c r="I38" s="15"/>
    </row>
    <row r="39" spans="2:9" ht="19.5" customHeight="1" x14ac:dyDescent="0.35">
      <c r="B39" s="12">
        <v>32</v>
      </c>
      <c r="C39" s="17"/>
      <c r="D39" s="17"/>
      <c r="E39" s="17"/>
      <c r="F39" s="17"/>
      <c r="G39" s="91"/>
      <c r="H39" s="92" t="str">
        <f t="shared" si="0"/>
        <v/>
      </c>
      <c r="I39" s="16"/>
    </row>
    <row r="40" spans="2:9" ht="19.5" customHeight="1" x14ac:dyDescent="0.35">
      <c r="B40" s="12">
        <v>33</v>
      </c>
      <c r="C40" s="17"/>
      <c r="D40" s="17"/>
      <c r="E40" s="17"/>
      <c r="F40" s="17"/>
      <c r="G40" s="91"/>
      <c r="H40" s="92" t="str">
        <f t="shared" si="0"/>
        <v/>
      </c>
      <c r="I40" s="15"/>
    </row>
    <row r="41" spans="2:9" ht="19.5" customHeight="1" x14ac:dyDescent="0.35">
      <c r="B41" s="12">
        <v>34</v>
      </c>
      <c r="C41" s="17"/>
      <c r="D41" s="17"/>
      <c r="E41" s="17"/>
      <c r="F41" s="17"/>
      <c r="G41" s="91"/>
      <c r="H41" s="92" t="str">
        <f t="shared" si="0"/>
        <v/>
      </c>
      <c r="I41" s="16"/>
    </row>
    <row r="42" spans="2:9" ht="19.5" customHeight="1" x14ac:dyDescent="0.35">
      <c r="B42" s="12">
        <v>35</v>
      </c>
      <c r="C42" s="17"/>
      <c r="D42" s="17"/>
      <c r="E42" s="17"/>
      <c r="F42" s="17"/>
      <c r="G42" s="91"/>
      <c r="H42" s="92" t="str">
        <f t="shared" si="0"/>
        <v/>
      </c>
      <c r="I42" s="15"/>
    </row>
    <row r="43" spans="2:9" ht="19.5" customHeight="1" x14ac:dyDescent="0.35">
      <c r="B43" s="12">
        <v>36</v>
      </c>
      <c r="C43" s="17"/>
      <c r="D43" s="17"/>
      <c r="E43" s="17"/>
      <c r="F43" s="17"/>
      <c r="G43" s="91"/>
      <c r="H43" s="92" t="str">
        <f t="shared" si="0"/>
        <v/>
      </c>
      <c r="I43" s="16"/>
    </row>
    <row r="44" spans="2:9" ht="19.5" customHeight="1" x14ac:dyDescent="0.35">
      <c r="B44" s="12">
        <v>37</v>
      </c>
      <c r="C44" s="17"/>
      <c r="D44" s="17"/>
      <c r="E44" s="17"/>
      <c r="F44" s="17"/>
      <c r="G44" s="91"/>
      <c r="H44" s="92" t="str">
        <f t="shared" si="0"/>
        <v/>
      </c>
      <c r="I44" s="15"/>
    </row>
    <row r="45" spans="2:9" ht="19.5" customHeight="1" x14ac:dyDescent="0.35">
      <c r="B45" s="12">
        <v>38</v>
      </c>
      <c r="C45" s="17"/>
      <c r="D45" s="17"/>
      <c r="E45" s="17"/>
      <c r="F45" s="17"/>
      <c r="G45" s="91"/>
      <c r="H45" s="92" t="str">
        <f t="shared" si="0"/>
        <v/>
      </c>
      <c r="I45" s="16"/>
    </row>
    <row r="46" spans="2:9" ht="19.5" customHeight="1" x14ac:dyDescent="0.35">
      <c r="B46" s="12">
        <v>39</v>
      </c>
      <c r="C46" s="17"/>
      <c r="D46" s="17"/>
      <c r="E46" s="17"/>
      <c r="F46" s="17"/>
      <c r="G46" s="91"/>
      <c r="H46" s="92" t="str">
        <f t="shared" si="0"/>
        <v/>
      </c>
      <c r="I46" s="15"/>
    </row>
    <row r="47" spans="2:9" ht="19.5" customHeight="1" x14ac:dyDescent="0.35">
      <c r="B47" s="12">
        <v>40</v>
      </c>
      <c r="C47" s="17"/>
      <c r="D47" s="17"/>
      <c r="E47" s="17"/>
      <c r="F47" s="17"/>
      <c r="G47" s="91"/>
      <c r="H47" s="92" t="str">
        <f t="shared" si="0"/>
        <v/>
      </c>
      <c r="I47" s="16"/>
    </row>
    <row r="48" spans="2:9" ht="19.5" customHeight="1" x14ac:dyDescent="0.35">
      <c r="B48" s="12">
        <v>41</v>
      </c>
      <c r="C48" s="17"/>
      <c r="D48" s="17"/>
      <c r="E48" s="17"/>
      <c r="F48" s="17"/>
      <c r="G48" s="91"/>
      <c r="H48" s="92" t="str">
        <f t="shared" si="0"/>
        <v/>
      </c>
      <c r="I48" s="15"/>
    </row>
    <row r="49" spans="2:9" ht="19.5" customHeight="1" x14ac:dyDescent="0.35">
      <c r="B49" s="12">
        <v>42</v>
      </c>
      <c r="C49" s="17"/>
      <c r="D49" s="17"/>
      <c r="E49" s="17"/>
      <c r="F49" s="17"/>
      <c r="G49" s="91"/>
      <c r="H49" s="92" t="str">
        <f t="shared" si="0"/>
        <v/>
      </c>
      <c r="I49" s="16"/>
    </row>
    <row r="50" spans="2:9" ht="19.5" customHeight="1" x14ac:dyDescent="0.35">
      <c r="B50" s="12">
        <f>B49+1</f>
        <v>43</v>
      </c>
      <c r="C50" s="17"/>
      <c r="D50" s="17"/>
      <c r="E50" s="17"/>
      <c r="F50" s="17"/>
      <c r="G50" s="91"/>
      <c r="H50" s="92" t="str">
        <f t="shared" si="0"/>
        <v/>
      </c>
      <c r="I50" s="15"/>
    </row>
    <row r="51" spans="2:9" x14ac:dyDescent="0.35">
      <c r="B51" s="12">
        <f t="shared" ref="B51:B114" si="1">B50+1</f>
        <v>44</v>
      </c>
      <c r="C51" s="17"/>
      <c r="D51" s="17"/>
      <c r="E51" s="17"/>
      <c r="F51" s="17"/>
      <c r="G51" s="91"/>
      <c r="H51" s="92" t="str">
        <f t="shared" si="0"/>
        <v/>
      </c>
      <c r="I51" s="15"/>
    </row>
    <row r="52" spans="2:9" x14ac:dyDescent="0.35">
      <c r="B52" s="12">
        <f t="shared" si="1"/>
        <v>45</v>
      </c>
      <c r="C52" s="17"/>
      <c r="D52" s="17"/>
      <c r="E52" s="17"/>
      <c r="F52" s="17"/>
      <c r="G52" s="91"/>
      <c r="H52" s="92" t="str">
        <f t="shared" si="0"/>
        <v/>
      </c>
      <c r="I52" s="15"/>
    </row>
    <row r="53" spans="2:9" x14ac:dyDescent="0.35">
      <c r="B53" s="12">
        <f t="shared" si="1"/>
        <v>46</v>
      </c>
      <c r="C53" s="17"/>
      <c r="D53" s="17"/>
      <c r="E53" s="17"/>
      <c r="F53" s="17"/>
      <c r="G53" s="91"/>
      <c r="H53" s="92" t="str">
        <f t="shared" si="0"/>
        <v/>
      </c>
      <c r="I53" s="15"/>
    </row>
    <row r="54" spans="2:9" x14ac:dyDescent="0.35">
      <c r="B54" s="12">
        <f t="shared" si="1"/>
        <v>47</v>
      </c>
      <c r="C54" s="17"/>
      <c r="D54" s="17"/>
      <c r="E54" s="17"/>
      <c r="F54" s="17"/>
      <c r="G54" s="91"/>
      <c r="H54" s="92" t="str">
        <f t="shared" si="0"/>
        <v/>
      </c>
      <c r="I54" s="15"/>
    </row>
    <row r="55" spans="2:9" x14ac:dyDescent="0.35">
      <c r="B55" s="12">
        <f t="shared" si="1"/>
        <v>48</v>
      </c>
      <c r="C55" s="17"/>
      <c r="D55" s="17"/>
      <c r="E55" s="17"/>
      <c r="F55" s="17"/>
      <c r="G55" s="91"/>
      <c r="H55" s="92" t="str">
        <f t="shared" si="0"/>
        <v/>
      </c>
      <c r="I55" s="15"/>
    </row>
    <row r="56" spans="2:9" x14ac:dyDescent="0.35">
      <c r="B56" s="12">
        <f t="shared" si="1"/>
        <v>49</v>
      </c>
      <c r="C56" s="17"/>
      <c r="D56" s="17"/>
      <c r="E56" s="17"/>
      <c r="F56" s="17"/>
      <c r="G56" s="91"/>
      <c r="H56" s="92" t="str">
        <f t="shared" si="0"/>
        <v/>
      </c>
      <c r="I56" s="15"/>
    </row>
    <row r="57" spans="2:9" x14ac:dyDescent="0.35">
      <c r="B57" s="12">
        <f t="shared" si="1"/>
        <v>50</v>
      </c>
      <c r="C57" s="17"/>
      <c r="D57" s="17"/>
      <c r="E57" s="17"/>
      <c r="F57" s="17"/>
      <c r="G57" s="91"/>
      <c r="H57" s="92" t="str">
        <f t="shared" si="0"/>
        <v/>
      </c>
      <c r="I57" s="15"/>
    </row>
    <row r="58" spans="2:9" x14ac:dyDescent="0.35">
      <c r="B58" s="12">
        <f t="shared" si="1"/>
        <v>51</v>
      </c>
      <c r="C58" s="17"/>
      <c r="D58" s="17"/>
      <c r="E58" s="17"/>
      <c r="F58" s="17"/>
      <c r="G58" s="91"/>
      <c r="H58" s="92" t="str">
        <f t="shared" si="0"/>
        <v/>
      </c>
      <c r="I58" s="15"/>
    </row>
    <row r="59" spans="2:9" x14ac:dyDescent="0.35">
      <c r="B59" s="12">
        <f t="shared" si="1"/>
        <v>52</v>
      </c>
      <c r="C59" s="17"/>
      <c r="D59" s="17"/>
      <c r="E59" s="17"/>
      <c r="F59" s="17"/>
      <c r="G59" s="91"/>
      <c r="H59" s="92" t="str">
        <f t="shared" si="0"/>
        <v/>
      </c>
      <c r="I59" s="15"/>
    </row>
    <row r="60" spans="2:9" x14ac:dyDescent="0.35">
      <c r="B60" s="12">
        <f t="shared" si="1"/>
        <v>53</v>
      </c>
      <c r="C60" s="17"/>
      <c r="D60" s="17"/>
      <c r="E60" s="17"/>
      <c r="F60" s="17"/>
      <c r="G60" s="91"/>
      <c r="H60" s="92" t="str">
        <f t="shared" si="0"/>
        <v/>
      </c>
      <c r="I60" s="15"/>
    </row>
    <row r="61" spans="2:9" x14ac:dyDescent="0.35">
      <c r="B61" s="12">
        <f t="shared" si="1"/>
        <v>54</v>
      </c>
      <c r="C61" s="17"/>
      <c r="D61" s="17"/>
      <c r="E61" s="17"/>
      <c r="F61" s="17"/>
      <c r="G61" s="91"/>
      <c r="H61" s="92" t="str">
        <f t="shared" si="0"/>
        <v/>
      </c>
      <c r="I61" s="15"/>
    </row>
    <row r="62" spans="2:9" x14ac:dyDescent="0.35">
      <c r="B62" s="12">
        <f t="shared" si="1"/>
        <v>55</v>
      </c>
      <c r="C62" s="17"/>
      <c r="D62" s="17"/>
      <c r="E62" s="17"/>
      <c r="F62" s="17"/>
      <c r="G62" s="91"/>
      <c r="H62" s="92" t="str">
        <f t="shared" si="0"/>
        <v/>
      </c>
      <c r="I62" s="15"/>
    </row>
    <row r="63" spans="2:9" x14ac:dyDescent="0.35">
      <c r="B63" s="12">
        <f t="shared" si="1"/>
        <v>56</v>
      </c>
      <c r="C63" s="17"/>
      <c r="D63" s="17"/>
      <c r="E63" s="17"/>
      <c r="F63" s="17"/>
      <c r="G63" s="91"/>
      <c r="H63" s="92" t="str">
        <f t="shared" si="0"/>
        <v/>
      </c>
      <c r="I63" s="15"/>
    </row>
    <row r="64" spans="2:9" x14ac:dyDescent="0.35">
      <c r="B64" s="12">
        <f t="shared" si="1"/>
        <v>57</v>
      </c>
      <c r="C64" s="17"/>
      <c r="D64" s="17"/>
      <c r="E64" s="17"/>
      <c r="F64" s="17"/>
      <c r="G64" s="91"/>
      <c r="H64" s="92" t="str">
        <f t="shared" si="0"/>
        <v/>
      </c>
      <c r="I64" s="15"/>
    </row>
    <row r="65" spans="2:9" x14ac:dyDescent="0.35">
      <c r="B65" s="12">
        <f t="shared" si="1"/>
        <v>58</v>
      </c>
      <c r="C65" s="17"/>
      <c r="D65" s="17"/>
      <c r="E65" s="17"/>
      <c r="F65" s="17"/>
      <c r="G65" s="91"/>
      <c r="H65" s="92" t="str">
        <f t="shared" si="0"/>
        <v/>
      </c>
      <c r="I65" s="15"/>
    </row>
    <row r="66" spans="2:9" x14ac:dyDescent="0.35">
      <c r="B66" s="12">
        <f t="shared" si="1"/>
        <v>59</v>
      </c>
      <c r="C66" s="17"/>
      <c r="D66" s="17"/>
      <c r="E66" s="17"/>
      <c r="F66" s="17"/>
      <c r="G66" s="91"/>
      <c r="H66" s="92" t="str">
        <f t="shared" si="0"/>
        <v/>
      </c>
      <c r="I66" s="15"/>
    </row>
    <row r="67" spans="2:9" x14ac:dyDescent="0.35">
      <c r="B67" s="12">
        <f t="shared" si="1"/>
        <v>60</v>
      </c>
      <c r="C67" s="17"/>
      <c r="D67" s="17"/>
      <c r="E67" s="17"/>
      <c r="F67" s="17"/>
      <c r="G67" s="91"/>
      <c r="H67" s="92" t="str">
        <f t="shared" si="0"/>
        <v/>
      </c>
      <c r="I67" s="15"/>
    </row>
    <row r="68" spans="2:9" x14ac:dyDescent="0.35">
      <c r="B68" s="12">
        <f t="shared" si="1"/>
        <v>61</v>
      </c>
      <c r="C68" s="17"/>
      <c r="D68" s="17"/>
      <c r="E68" s="17"/>
      <c r="F68" s="17"/>
      <c r="G68" s="91"/>
      <c r="H68" s="92" t="str">
        <f t="shared" si="0"/>
        <v/>
      </c>
      <c r="I68" s="15"/>
    </row>
    <row r="69" spans="2:9" x14ac:dyDescent="0.35">
      <c r="B69" s="12">
        <f t="shared" si="1"/>
        <v>62</v>
      </c>
      <c r="C69" s="17"/>
      <c r="D69" s="17"/>
      <c r="E69" s="17"/>
      <c r="F69" s="17"/>
      <c r="G69" s="91"/>
      <c r="H69" s="92" t="str">
        <f t="shared" si="0"/>
        <v/>
      </c>
      <c r="I69" s="15"/>
    </row>
    <row r="70" spans="2:9" x14ac:dyDescent="0.35">
      <c r="B70" s="12">
        <f t="shared" si="1"/>
        <v>63</v>
      </c>
      <c r="C70" s="17"/>
      <c r="D70" s="17"/>
      <c r="E70" s="17"/>
      <c r="F70" s="17"/>
      <c r="G70" s="91"/>
      <c r="H70" s="92" t="str">
        <f t="shared" si="0"/>
        <v/>
      </c>
      <c r="I70" s="15"/>
    </row>
    <row r="71" spans="2:9" x14ac:dyDescent="0.35">
      <c r="B71" s="12">
        <f t="shared" si="1"/>
        <v>64</v>
      </c>
      <c r="C71" s="17"/>
      <c r="D71" s="17"/>
      <c r="E71" s="17"/>
      <c r="F71" s="17"/>
      <c r="G71" s="91"/>
      <c r="H71" s="92" t="str">
        <f t="shared" si="0"/>
        <v/>
      </c>
      <c r="I71" s="15"/>
    </row>
    <row r="72" spans="2:9" x14ac:dyDescent="0.35">
      <c r="B72" s="12">
        <f t="shared" si="1"/>
        <v>65</v>
      </c>
      <c r="C72" s="17"/>
      <c r="D72" s="17"/>
      <c r="E72" s="17"/>
      <c r="F72" s="17"/>
      <c r="G72" s="91"/>
      <c r="H72" s="92" t="str">
        <f t="shared" ref="H72:H135" si="2">IF(G72*F72&gt;0,G72*F72,"")</f>
        <v/>
      </c>
      <c r="I72" s="15"/>
    </row>
    <row r="73" spans="2:9" x14ac:dyDescent="0.35">
      <c r="B73" s="12">
        <f t="shared" si="1"/>
        <v>66</v>
      </c>
      <c r="C73" s="17"/>
      <c r="D73" s="17"/>
      <c r="E73" s="17"/>
      <c r="F73" s="17"/>
      <c r="G73" s="91"/>
      <c r="H73" s="92" t="str">
        <f t="shared" si="2"/>
        <v/>
      </c>
      <c r="I73" s="15"/>
    </row>
    <row r="74" spans="2:9" x14ac:dyDescent="0.35">
      <c r="B74" s="12">
        <f t="shared" si="1"/>
        <v>67</v>
      </c>
      <c r="C74" s="17"/>
      <c r="D74" s="17"/>
      <c r="E74" s="17"/>
      <c r="F74" s="17"/>
      <c r="G74" s="91"/>
      <c r="H74" s="92" t="str">
        <f t="shared" si="2"/>
        <v/>
      </c>
      <c r="I74" s="15"/>
    </row>
    <row r="75" spans="2:9" x14ac:dyDescent="0.35">
      <c r="B75" s="12">
        <f t="shared" si="1"/>
        <v>68</v>
      </c>
      <c r="C75" s="17"/>
      <c r="D75" s="17"/>
      <c r="E75" s="17"/>
      <c r="F75" s="17"/>
      <c r="G75" s="91"/>
      <c r="H75" s="92" t="str">
        <f t="shared" si="2"/>
        <v/>
      </c>
      <c r="I75" s="15"/>
    </row>
    <row r="76" spans="2:9" x14ac:dyDescent="0.35">
      <c r="B76" s="12">
        <f t="shared" si="1"/>
        <v>69</v>
      </c>
      <c r="C76" s="17"/>
      <c r="D76" s="17"/>
      <c r="E76" s="17"/>
      <c r="F76" s="17"/>
      <c r="G76" s="91"/>
      <c r="H76" s="92" t="str">
        <f t="shared" si="2"/>
        <v/>
      </c>
      <c r="I76" s="15"/>
    </row>
    <row r="77" spans="2:9" x14ac:dyDescent="0.35">
      <c r="B77" s="12">
        <f t="shared" si="1"/>
        <v>70</v>
      </c>
      <c r="C77" s="17"/>
      <c r="D77" s="17"/>
      <c r="E77" s="17"/>
      <c r="F77" s="17"/>
      <c r="G77" s="91"/>
      <c r="H77" s="92" t="str">
        <f t="shared" si="2"/>
        <v/>
      </c>
      <c r="I77" s="15"/>
    </row>
    <row r="78" spans="2:9" x14ac:dyDescent="0.35">
      <c r="B78" s="12">
        <f t="shared" si="1"/>
        <v>71</v>
      </c>
      <c r="C78" s="17"/>
      <c r="D78" s="17"/>
      <c r="E78" s="17"/>
      <c r="F78" s="17"/>
      <c r="G78" s="91"/>
      <c r="H78" s="92" t="str">
        <f t="shared" si="2"/>
        <v/>
      </c>
      <c r="I78" s="15"/>
    </row>
    <row r="79" spans="2:9" x14ac:dyDescent="0.35">
      <c r="B79" s="12">
        <f t="shared" si="1"/>
        <v>72</v>
      </c>
      <c r="C79" s="17"/>
      <c r="D79" s="17"/>
      <c r="E79" s="17"/>
      <c r="F79" s="17"/>
      <c r="G79" s="91"/>
      <c r="H79" s="92" t="str">
        <f t="shared" si="2"/>
        <v/>
      </c>
      <c r="I79" s="15"/>
    </row>
    <row r="80" spans="2:9" x14ac:dyDescent="0.35">
      <c r="B80" s="12">
        <f t="shared" si="1"/>
        <v>73</v>
      </c>
      <c r="C80" s="17"/>
      <c r="D80" s="17"/>
      <c r="E80" s="17"/>
      <c r="F80" s="17"/>
      <c r="G80" s="91"/>
      <c r="H80" s="92" t="str">
        <f t="shared" si="2"/>
        <v/>
      </c>
      <c r="I80" s="15"/>
    </row>
    <row r="81" spans="2:9" x14ac:dyDescent="0.35">
      <c r="B81" s="12">
        <f t="shared" si="1"/>
        <v>74</v>
      </c>
      <c r="C81" s="17"/>
      <c r="D81" s="17"/>
      <c r="E81" s="17"/>
      <c r="F81" s="17"/>
      <c r="G81" s="91"/>
      <c r="H81" s="92" t="str">
        <f t="shared" si="2"/>
        <v/>
      </c>
      <c r="I81" s="15"/>
    </row>
    <row r="82" spans="2:9" x14ac:dyDescent="0.35">
      <c r="B82" s="12">
        <f t="shared" si="1"/>
        <v>75</v>
      </c>
      <c r="C82" s="17"/>
      <c r="D82" s="17"/>
      <c r="E82" s="17"/>
      <c r="F82" s="17"/>
      <c r="G82" s="91"/>
      <c r="H82" s="92" t="str">
        <f t="shared" si="2"/>
        <v/>
      </c>
      <c r="I82" s="15"/>
    </row>
    <row r="83" spans="2:9" x14ac:dyDescent="0.35">
      <c r="B83" s="12">
        <f t="shared" si="1"/>
        <v>76</v>
      </c>
      <c r="C83" s="17"/>
      <c r="D83" s="17"/>
      <c r="E83" s="17"/>
      <c r="F83" s="17"/>
      <c r="G83" s="91"/>
      <c r="H83" s="92" t="str">
        <f t="shared" si="2"/>
        <v/>
      </c>
      <c r="I83" s="15"/>
    </row>
    <row r="84" spans="2:9" x14ac:dyDescent="0.35">
      <c r="B84" s="12">
        <f t="shared" si="1"/>
        <v>77</v>
      </c>
      <c r="C84" s="17"/>
      <c r="D84" s="17"/>
      <c r="E84" s="17"/>
      <c r="F84" s="17"/>
      <c r="G84" s="91"/>
      <c r="H84" s="92" t="str">
        <f t="shared" si="2"/>
        <v/>
      </c>
      <c r="I84" s="15"/>
    </row>
    <row r="85" spans="2:9" x14ac:dyDescent="0.35">
      <c r="B85" s="12">
        <f t="shared" si="1"/>
        <v>78</v>
      </c>
      <c r="C85" s="17"/>
      <c r="D85" s="17"/>
      <c r="E85" s="17"/>
      <c r="F85" s="17"/>
      <c r="G85" s="91"/>
      <c r="H85" s="92" t="str">
        <f t="shared" si="2"/>
        <v/>
      </c>
      <c r="I85" s="15"/>
    </row>
    <row r="86" spans="2:9" x14ac:dyDescent="0.35">
      <c r="B86" s="12">
        <f t="shared" si="1"/>
        <v>79</v>
      </c>
      <c r="C86" s="17"/>
      <c r="D86" s="17"/>
      <c r="E86" s="17"/>
      <c r="F86" s="17"/>
      <c r="G86" s="91"/>
      <c r="H86" s="92" t="str">
        <f t="shared" si="2"/>
        <v/>
      </c>
      <c r="I86" s="15"/>
    </row>
    <row r="87" spans="2:9" x14ac:dyDescent="0.35">
      <c r="B87" s="12">
        <f t="shared" si="1"/>
        <v>80</v>
      </c>
      <c r="C87" s="17"/>
      <c r="D87" s="17"/>
      <c r="E87" s="17"/>
      <c r="F87" s="17"/>
      <c r="G87" s="91"/>
      <c r="H87" s="92" t="str">
        <f t="shared" si="2"/>
        <v/>
      </c>
      <c r="I87" s="15"/>
    </row>
    <row r="88" spans="2:9" x14ac:dyDescent="0.35">
      <c r="B88" s="12">
        <f t="shared" si="1"/>
        <v>81</v>
      </c>
      <c r="C88" s="17"/>
      <c r="D88" s="17"/>
      <c r="E88" s="17"/>
      <c r="F88" s="17"/>
      <c r="G88" s="91"/>
      <c r="H88" s="92" t="str">
        <f t="shared" si="2"/>
        <v/>
      </c>
      <c r="I88" s="15"/>
    </row>
    <row r="89" spans="2:9" x14ac:dyDescent="0.35">
      <c r="B89" s="12">
        <f t="shared" si="1"/>
        <v>82</v>
      </c>
      <c r="C89" s="17"/>
      <c r="D89" s="17"/>
      <c r="E89" s="17"/>
      <c r="F89" s="17"/>
      <c r="G89" s="91"/>
      <c r="H89" s="92" t="str">
        <f t="shared" si="2"/>
        <v/>
      </c>
      <c r="I89" s="15"/>
    </row>
    <row r="90" spans="2:9" x14ac:dyDescent="0.35">
      <c r="B90" s="12">
        <f t="shared" si="1"/>
        <v>83</v>
      </c>
      <c r="C90" s="17"/>
      <c r="D90" s="17"/>
      <c r="E90" s="17"/>
      <c r="F90" s="17"/>
      <c r="G90" s="91"/>
      <c r="H90" s="92" t="str">
        <f t="shared" si="2"/>
        <v/>
      </c>
      <c r="I90" s="15"/>
    </row>
    <row r="91" spans="2:9" x14ac:dyDescent="0.35">
      <c r="B91" s="12">
        <f t="shared" si="1"/>
        <v>84</v>
      </c>
      <c r="C91" s="17"/>
      <c r="D91" s="17"/>
      <c r="E91" s="17"/>
      <c r="F91" s="17"/>
      <c r="G91" s="91"/>
      <c r="H91" s="92" t="str">
        <f t="shared" si="2"/>
        <v/>
      </c>
      <c r="I91" s="15"/>
    </row>
    <row r="92" spans="2:9" x14ac:dyDescent="0.35">
      <c r="B92" s="12">
        <f t="shared" si="1"/>
        <v>85</v>
      </c>
      <c r="C92" s="17"/>
      <c r="D92" s="17"/>
      <c r="E92" s="17"/>
      <c r="F92" s="17"/>
      <c r="G92" s="91"/>
      <c r="H92" s="92" t="str">
        <f t="shared" si="2"/>
        <v/>
      </c>
      <c r="I92" s="15"/>
    </row>
    <row r="93" spans="2:9" x14ac:dyDescent="0.35">
      <c r="B93" s="12">
        <f t="shared" si="1"/>
        <v>86</v>
      </c>
      <c r="C93" s="17"/>
      <c r="D93" s="17"/>
      <c r="E93" s="17"/>
      <c r="F93" s="17"/>
      <c r="G93" s="91"/>
      <c r="H93" s="92" t="str">
        <f t="shared" si="2"/>
        <v/>
      </c>
      <c r="I93" s="15"/>
    </row>
    <row r="94" spans="2:9" x14ac:dyDescent="0.35">
      <c r="B94" s="12">
        <f t="shared" si="1"/>
        <v>87</v>
      </c>
      <c r="C94" s="17"/>
      <c r="D94" s="17"/>
      <c r="E94" s="17"/>
      <c r="F94" s="17"/>
      <c r="G94" s="91"/>
      <c r="H94" s="92" t="str">
        <f t="shared" si="2"/>
        <v/>
      </c>
      <c r="I94" s="15"/>
    </row>
    <row r="95" spans="2:9" x14ac:dyDescent="0.35">
      <c r="B95" s="12">
        <f t="shared" si="1"/>
        <v>88</v>
      </c>
      <c r="C95" s="17"/>
      <c r="D95" s="17"/>
      <c r="E95" s="17"/>
      <c r="F95" s="17"/>
      <c r="G95" s="91"/>
      <c r="H95" s="92" t="str">
        <f t="shared" si="2"/>
        <v/>
      </c>
      <c r="I95" s="15"/>
    </row>
    <row r="96" spans="2:9" x14ac:dyDescent="0.35">
      <c r="B96" s="12">
        <f t="shared" si="1"/>
        <v>89</v>
      </c>
      <c r="C96" s="17"/>
      <c r="D96" s="17"/>
      <c r="E96" s="17"/>
      <c r="F96" s="17"/>
      <c r="G96" s="91"/>
      <c r="H96" s="92" t="str">
        <f t="shared" si="2"/>
        <v/>
      </c>
      <c r="I96" s="15"/>
    </row>
    <row r="97" spans="2:9" x14ac:dyDescent="0.35">
      <c r="B97" s="12">
        <f t="shared" si="1"/>
        <v>90</v>
      </c>
      <c r="C97" s="17"/>
      <c r="D97" s="17"/>
      <c r="E97" s="17"/>
      <c r="F97" s="17"/>
      <c r="G97" s="91"/>
      <c r="H97" s="92" t="str">
        <f t="shared" si="2"/>
        <v/>
      </c>
      <c r="I97" s="15"/>
    </row>
    <row r="98" spans="2:9" x14ac:dyDescent="0.35">
      <c r="B98" s="12">
        <f t="shared" si="1"/>
        <v>91</v>
      </c>
      <c r="C98" s="17"/>
      <c r="D98" s="17"/>
      <c r="E98" s="17"/>
      <c r="F98" s="17"/>
      <c r="G98" s="91"/>
      <c r="H98" s="92" t="str">
        <f t="shared" si="2"/>
        <v/>
      </c>
      <c r="I98" s="15"/>
    </row>
    <row r="99" spans="2:9" x14ac:dyDescent="0.35">
      <c r="B99" s="12">
        <f t="shared" si="1"/>
        <v>92</v>
      </c>
      <c r="C99" s="17"/>
      <c r="D99" s="17"/>
      <c r="E99" s="17"/>
      <c r="F99" s="17"/>
      <c r="G99" s="91"/>
      <c r="H99" s="92" t="str">
        <f t="shared" si="2"/>
        <v/>
      </c>
      <c r="I99" s="15"/>
    </row>
    <row r="100" spans="2:9" x14ac:dyDescent="0.35">
      <c r="B100" s="12">
        <f t="shared" si="1"/>
        <v>93</v>
      </c>
      <c r="C100" s="17"/>
      <c r="D100" s="17"/>
      <c r="E100" s="17"/>
      <c r="F100" s="17"/>
      <c r="G100" s="91"/>
      <c r="H100" s="92" t="str">
        <f t="shared" si="2"/>
        <v/>
      </c>
      <c r="I100" s="15"/>
    </row>
    <row r="101" spans="2:9" x14ac:dyDescent="0.35">
      <c r="B101" s="12">
        <f t="shared" si="1"/>
        <v>94</v>
      </c>
      <c r="C101" s="17"/>
      <c r="D101" s="17"/>
      <c r="E101" s="17"/>
      <c r="F101" s="17"/>
      <c r="G101" s="91"/>
      <c r="H101" s="92" t="str">
        <f t="shared" si="2"/>
        <v/>
      </c>
      <c r="I101" s="15"/>
    </row>
    <row r="102" spans="2:9" x14ac:dyDescent="0.35">
      <c r="B102" s="12">
        <f t="shared" si="1"/>
        <v>95</v>
      </c>
      <c r="C102" s="17"/>
      <c r="D102" s="17"/>
      <c r="E102" s="17"/>
      <c r="F102" s="17"/>
      <c r="G102" s="91"/>
      <c r="H102" s="92" t="str">
        <f t="shared" si="2"/>
        <v/>
      </c>
      <c r="I102" s="15"/>
    </row>
    <row r="103" spans="2:9" x14ac:dyDescent="0.35">
      <c r="B103" s="12">
        <f t="shared" si="1"/>
        <v>96</v>
      </c>
      <c r="C103" s="17"/>
      <c r="D103" s="17"/>
      <c r="E103" s="17"/>
      <c r="F103" s="17"/>
      <c r="G103" s="91"/>
      <c r="H103" s="92" t="str">
        <f t="shared" si="2"/>
        <v/>
      </c>
      <c r="I103" s="15"/>
    </row>
    <row r="104" spans="2:9" x14ac:dyDescent="0.35">
      <c r="B104" s="12">
        <f t="shared" si="1"/>
        <v>97</v>
      </c>
      <c r="C104" s="17"/>
      <c r="D104" s="17"/>
      <c r="E104" s="17"/>
      <c r="F104" s="17"/>
      <c r="G104" s="91"/>
      <c r="H104" s="92" t="str">
        <f t="shared" si="2"/>
        <v/>
      </c>
      <c r="I104" s="15"/>
    </row>
    <row r="105" spans="2:9" x14ac:dyDescent="0.35">
      <c r="B105" s="12">
        <f t="shared" si="1"/>
        <v>98</v>
      </c>
      <c r="C105" s="17"/>
      <c r="D105" s="17"/>
      <c r="E105" s="17"/>
      <c r="F105" s="17"/>
      <c r="G105" s="91"/>
      <c r="H105" s="92" t="str">
        <f t="shared" si="2"/>
        <v/>
      </c>
      <c r="I105" s="15"/>
    </row>
    <row r="106" spans="2:9" x14ac:dyDescent="0.35">
      <c r="B106" s="12">
        <f t="shared" si="1"/>
        <v>99</v>
      </c>
      <c r="C106" s="17"/>
      <c r="D106" s="17"/>
      <c r="E106" s="17"/>
      <c r="F106" s="17"/>
      <c r="G106" s="91"/>
      <c r="H106" s="92" t="str">
        <f t="shared" si="2"/>
        <v/>
      </c>
      <c r="I106" s="15"/>
    </row>
    <row r="107" spans="2:9" x14ac:dyDescent="0.35">
      <c r="B107" s="12">
        <f t="shared" si="1"/>
        <v>100</v>
      </c>
      <c r="C107" s="17"/>
      <c r="D107" s="17"/>
      <c r="E107" s="17"/>
      <c r="F107" s="17"/>
      <c r="G107" s="91"/>
      <c r="H107" s="92" t="str">
        <f t="shared" si="2"/>
        <v/>
      </c>
      <c r="I107" s="15"/>
    </row>
    <row r="108" spans="2:9" x14ac:dyDescent="0.35">
      <c r="B108" s="12">
        <f t="shared" si="1"/>
        <v>101</v>
      </c>
      <c r="C108" s="17"/>
      <c r="D108" s="17"/>
      <c r="E108" s="17"/>
      <c r="F108" s="17"/>
      <c r="G108" s="91"/>
      <c r="H108" s="92" t="str">
        <f t="shared" si="2"/>
        <v/>
      </c>
      <c r="I108" s="15"/>
    </row>
    <row r="109" spans="2:9" x14ac:dyDescent="0.35">
      <c r="B109" s="12">
        <f t="shared" si="1"/>
        <v>102</v>
      </c>
      <c r="C109" s="17"/>
      <c r="D109" s="17"/>
      <c r="E109" s="17"/>
      <c r="F109" s="17"/>
      <c r="G109" s="91"/>
      <c r="H109" s="92" t="str">
        <f t="shared" si="2"/>
        <v/>
      </c>
      <c r="I109" s="15"/>
    </row>
    <row r="110" spans="2:9" x14ac:dyDescent="0.35">
      <c r="B110" s="12">
        <f t="shared" si="1"/>
        <v>103</v>
      </c>
      <c r="C110" s="17"/>
      <c r="D110" s="17"/>
      <c r="E110" s="17"/>
      <c r="F110" s="17"/>
      <c r="G110" s="91"/>
      <c r="H110" s="92" t="str">
        <f t="shared" si="2"/>
        <v/>
      </c>
      <c r="I110" s="15"/>
    </row>
    <row r="111" spans="2:9" x14ac:dyDescent="0.35">
      <c r="B111" s="12">
        <f t="shared" si="1"/>
        <v>104</v>
      </c>
      <c r="C111" s="17"/>
      <c r="D111" s="17"/>
      <c r="E111" s="17"/>
      <c r="F111" s="17"/>
      <c r="G111" s="91"/>
      <c r="H111" s="92" t="str">
        <f t="shared" si="2"/>
        <v/>
      </c>
      <c r="I111" s="15"/>
    </row>
    <row r="112" spans="2:9" x14ac:dyDescent="0.35">
      <c r="B112" s="12">
        <f t="shared" si="1"/>
        <v>105</v>
      </c>
      <c r="C112" s="17"/>
      <c r="D112" s="17"/>
      <c r="E112" s="17"/>
      <c r="F112" s="17"/>
      <c r="G112" s="91"/>
      <c r="H112" s="92" t="str">
        <f t="shared" si="2"/>
        <v/>
      </c>
      <c r="I112" s="15"/>
    </row>
    <row r="113" spans="2:9" x14ac:dyDescent="0.35">
      <c r="B113" s="12">
        <f t="shared" si="1"/>
        <v>106</v>
      </c>
      <c r="C113" s="17"/>
      <c r="D113" s="17"/>
      <c r="E113" s="17"/>
      <c r="F113" s="17"/>
      <c r="G113" s="91"/>
      <c r="H113" s="92" t="str">
        <f t="shared" si="2"/>
        <v/>
      </c>
      <c r="I113" s="15"/>
    </row>
    <row r="114" spans="2:9" x14ac:dyDescent="0.35">
      <c r="B114" s="12">
        <f t="shared" si="1"/>
        <v>107</v>
      </c>
      <c r="C114" s="17"/>
      <c r="D114" s="17"/>
      <c r="E114" s="17"/>
      <c r="F114" s="17"/>
      <c r="G114" s="91"/>
      <c r="H114" s="92" t="str">
        <f t="shared" si="2"/>
        <v/>
      </c>
      <c r="I114" s="15"/>
    </row>
    <row r="115" spans="2:9" x14ac:dyDescent="0.35">
      <c r="B115" s="12">
        <f t="shared" ref="B115:B178" si="3">B114+1</f>
        <v>108</v>
      </c>
      <c r="C115" s="17"/>
      <c r="D115" s="17"/>
      <c r="E115" s="17"/>
      <c r="F115" s="17"/>
      <c r="G115" s="91"/>
      <c r="H115" s="92" t="str">
        <f t="shared" si="2"/>
        <v/>
      </c>
      <c r="I115" s="15"/>
    </row>
    <row r="116" spans="2:9" x14ac:dyDescent="0.35">
      <c r="B116" s="12">
        <f t="shared" si="3"/>
        <v>109</v>
      </c>
      <c r="C116" s="17"/>
      <c r="D116" s="17"/>
      <c r="E116" s="17"/>
      <c r="F116" s="17"/>
      <c r="G116" s="91"/>
      <c r="H116" s="92" t="str">
        <f t="shared" si="2"/>
        <v/>
      </c>
      <c r="I116" s="15"/>
    </row>
    <row r="117" spans="2:9" x14ac:dyDescent="0.35">
      <c r="B117" s="12">
        <f t="shared" si="3"/>
        <v>110</v>
      </c>
      <c r="C117" s="17"/>
      <c r="D117" s="17"/>
      <c r="E117" s="17"/>
      <c r="F117" s="17"/>
      <c r="G117" s="91"/>
      <c r="H117" s="92" t="str">
        <f t="shared" si="2"/>
        <v/>
      </c>
      <c r="I117" s="15"/>
    </row>
    <row r="118" spans="2:9" x14ac:dyDescent="0.35">
      <c r="B118" s="12">
        <f t="shared" si="3"/>
        <v>111</v>
      </c>
      <c r="C118" s="17"/>
      <c r="D118" s="17"/>
      <c r="E118" s="17"/>
      <c r="F118" s="17"/>
      <c r="G118" s="91"/>
      <c r="H118" s="92" t="str">
        <f t="shared" si="2"/>
        <v/>
      </c>
      <c r="I118" s="15"/>
    </row>
    <row r="119" spans="2:9" x14ac:dyDescent="0.35">
      <c r="B119" s="12">
        <f t="shared" si="3"/>
        <v>112</v>
      </c>
      <c r="C119" s="17"/>
      <c r="D119" s="17"/>
      <c r="E119" s="17"/>
      <c r="F119" s="17"/>
      <c r="G119" s="91"/>
      <c r="H119" s="92" t="str">
        <f t="shared" si="2"/>
        <v/>
      </c>
      <c r="I119" s="15"/>
    </row>
    <row r="120" spans="2:9" x14ac:dyDescent="0.35">
      <c r="B120" s="12">
        <f t="shared" si="3"/>
        <v>113</v>
      </c>
      <c r="C120" s="17"/>
      <c r="D120" s="17"/>
      <c r="E120" s="17"/>
      <c r="F120" s="17"/>
      <c r="G120" s="91"/>
      <c r="H120" s="92" t="str">
        <f t="shared" si="2"/>
        <v/>
      </c>
      <c r="I120" s="15"/>
    </row>
    <row r="121" spans="2:9" x14ac:dyDescent="0.35">
      <c r="B121" s="12">
        <f t="shared" si="3"/>
        <v>114</v>
      </c>
      <c r="C121" s="17"/>
      <c r="D121" s="17"/>
      <c r="E121" s="17"/>
      <c r="F121" s="17"/>
      <c r="G121" s="91"/>
      <c r="H121" s="92" t="str">
        <f t="shared" si="2"/>
        <v/>
      </c>
      <c r="I121" s="15"/>
    </row>
    <row r="122" spans="2:9" x14ac:dyDescent="0.35">
      <c r="B122" s="12">
        <f t="shared" si="3"/>
        <v>115</v>
      </c>
      <c r="C122" s="17"/>
      <c r="D122" s="17"/>
      <c r="E122" s="17"/>
      <c r="F122" s="17"/>
      <c r="G122" s="91"/>
      <c r="H122" s="92" t="str">
        <f t="shared" si="2"/>
        <v/>
      </c>
      <c r="I122" s="15"/>
    </row>
    <row r="123" spans="2:9" x14ac:dyDescent="0.35">
      <c r="B123" s="12">
        <f t="shared" si="3"/>
        <v>116</v>
      </c>
      <c r="C123" s="17"/>
      <c r="D123" s="17"/>
      <c r="E123" s="17"/>
      <c r="F123" s="17"/>
      <c r="G123" s="91"/>
      <c r="H123" s="92" t="str">
        <f t="shared" si="2"/>
        <v/>
      </c>
      <c r="I123" s="15"/>
    </row>
    <row r="124" spans="2:9" x14ac:dyDescent="0.35">
      <c r="B124" s="12">
        <f t="shared" si="3"/>
        <v>117</v>
      </c>
      <c r="C124" s="17"/>
      <c r="D124" s="17"/>
      <c r="E124" s="17"/>
      <c r="F124" s="17"/>
      <c r="G124" s="91"/>
      <c r="H124" s="92" t="str">
        <f t="shared" si="2"/>
        <v/>
      </c>
      <c r="I124" s="15"/>
    </row>
    <row r="125" spans="2:9" x14ac:dyDescent="0.35">
      <c r="B125" s="12">
        <f t="shared" si="3"/>
        <v>118</v>
      </c>
      <c r="C125" s="17"/>
      <c r="D125" s="17"/>
      <c r="E125" s="17"/>
      <c r="F125" s="17"/>
      <c r="G125" s="91"/>
      <c r="H125" s="92" t="str">
        <f t="shared" si="2"/>
        <v/>
      </c>
      <c r="I125" s="15"/>
    </row>
    <row r="126" spans="2:9" x14ac:dyDescent="0.35">
      <c r="B126" s="12">
        <f t="shared" si="3"/>
        <v>119</v>
      </c>
      <c r="C126" s="17"/>
      <c r="D126" s="17"/>
      <c r="E126" s="17"/>
      <c r="F126" s="17"/>
      <c r="G126" s="91"/>
      <c r="H126" s="92" t="str">
        <f t="shared" si="2"/>
        <v/>
      </c>
      <c r="I126" s="15"/>
    </row>
    <row r="127" spans="2:9" x14ac:dyDescent="0.35">
      <c r="B127" s="12">
        <f t="shared" si="3"/>
        <v>120</v>
      </c>
      <c r="C127" s="17"/>
      <c r="D127" s="17"/>
      <c r="E127" s="17"/>
      <c r="F127" s="17"/>
      <c r="G127" s="91"/>
      <c r="H127" s="92" t="str">
        <f t="shared" si="2"/>
        <v/>
      </c>
      <c r="I127" s="15"/>
    </row>
    <row r="128" spans="2:9" x14ac:dyDescent="0.35">
      <c r="B128" s="12">
        <f t="shared" si="3"/>
        <v>121</v>
      </c>
      <c r="C128" s="17"/>
      <c r="D128" s="17"/>
      <c r="E128" s="17"/>
      <c r="F128" s="17"/>
      <c r="G128" s="91"/>
      <c r="H128" s="92" t="str">
        <f t="shared" si="2"/>
        <v/>
      </c>
      <c r="I128" s="15"/>
    </row>
    <row r="129" spans="2:9" x14ac:dyDescent="0.35">
      <c r="B129" s="12">
        <f t="shared" si="3"/>
        <v>122</v>
      </c>
      <c r="C129" s="17"/>
      <c r="D129" s="17"/>
      <c r="E129" s="17"/>
      <c r="F129" s="17"/>
      <c r="G129" s="91"/>
      <c r="H129" s="92" t="str">
        <f t="shared" si="2"/>
        <v/>
      </c>
      <c r="I129" s="15"/>
    </row>
    <row r="130" spans="2:9" x14ac:dyDescent="0.35">
      <c r="B130" s="12">
        <f t="shared" si="3"/>
        <v>123</v>
      </c>
      <c r="C130" s="17"/>
      <c r="D130" s="17"/>
      <c r="E130" s="17"/>
      <c r="F130" s="17"/>
      <c r="G130" s="91"/>
      <c r="H130" s="92" t="str">
        <f t="shared" si="2"/>
        <v/>
      </c>
      <c r="I130" s="15"/>
    </row>
    <row r="131" spans="2:9" x14ac:dyDescent="0.35">
      <c r="B131" s="12">
        <f t="shared" si="3"/>
        <v>124</v>
      </c>
      <c r="C131" s="17"/>
      <c r="D131" s="17"/>
      <c r="E131" s="17"/>
      <c r="F131" s="17"/>
      <c r="G131" s="91"/>
      <c r="H131" s="92" t="str">
        <f t="shared" si="2"/>
        <v/>
      </c>
      <c r="I131" s="15"/>
    </row>
    <row r="132" spans="2:9" x14ac:dyDescent="0.35">
      <c r="B132" s="12">
        <f t="shared" si="3"/>
        <v>125</v>
      </c>
      <c r="C132" s="17"/>
      <c r="D132" s="17"/>
      <c r="E132" s="17"/>
      <c r="F132" s="17"/>
      <c r="G132" s="91"/>
      <c r="H132" s="92" t="str">
        <f t="shared" si="2"/>
        <v/>
      </c>
      <c r="I132" s="15"/>
    </row>
    <row r="133" spans="2:9" x14ac:dyDescent="0.35">
      <c r="B133" s="12">
        <f t="shared" si="3"/>
        <v>126</v>
      </c>
      <c r="C133" s="17"/>
      <c r="D133" s="17"/>
      <c r="E133" s="17"/>
      <c r="F133" s="17"/>
      <c r="G133" s="91"/>
      <c r="H133" s="92" t="str">
        <f t="shared" si="2"/>
        <v/>
      </c>
      <c r="I133" s="15"/>
    </row>
    <row r="134" spans="2:9" x14ac:dyDescent="0.35">
      <c r="B134" s="12">
        <f t="shared" si="3"/>
        <v>127</v>
      </c>
      <c r="C134" s="17"/>
      <c r="D134" s="17"/>
      <c r="E134" s="17"/>
      <c r="F134" s="17"/>
      <c r="G134" s="91"/>
      <c r="H134" s="92" t="str">
        <f t="shared" si="2"/>
        <v/>
      </c>
      <c r="I134" s="15"/>
    </row>
    <row r="135" spans="2:9" x14ac:dyDescent="0.35">
      <c r="B135" s="12">
        <f t="shared" si="3"/>
        <v>128</v>
      </c>
      <c r="C135" s="17"/>
      <c r="D135" s="17"/>
      <c r="E135" s="17"/>
      <c r="F135" s="17"/>
      <c r="G135" s="91"/>
      <c r="H135" s="92" t="str">
        <f t="shared" si="2"/>
        <v/>
      </c>
      <c r="I135" s="15"/>
    </row>
    <row r="136" spans="2:9" x14ac:dyDescent="0.35">
      <c r="B136" s="12">
        <f t="shared" si="3"/>
        <v>129</v>
      </c>
      <c r="C136" s="17"/>
      <c r="D136" s="17"/>
      <c r="E136" s="17"/>
      <c r="F136" s="17"/>
      <c r="G136" s="91"/>
      <c r="H136" s="92" t="str">
        <f t="shared" ref="H136:H199" si="4">IF(G136*F136&gt;0,G136*F136,"")</f>
        <v/>
      </c>
      <c r="I136" s="15"/>
    </row>
    <row r="137" spans="2:9" x14ac:dyDescent="0.35">
      <c r="B137" s="12">
        <f t="shared" si="3"/>
        <v>130</v>
      </c>
      <c r="C137" s="17"/>
      <c r="D137" s="17"/>
      <c r="E137" s="17"/>
      <c r="F137" s="17"/>
      <c r="G137" s="91"/>
      <c r="H137" s="92" t="str">
        <f t="shared" si="4"/>
        <v/>
      </c>
      <c r="I137" s="15"/>
    </row>
    <row r="138" spans="2:9" x14ac:dyDescent="0.35">
      <c r="B138" s="12">
        <f t="shared" si="3"/>
        <v>131</v>
      </c>
      <c r="C138" s="17"/>
      <c r="D138" s="17"/>
      <c r="E138" s="17"/>
      <c r="F138" s="17"/>
      <c r="G138" s="91"/>
      <c r="H138" s="92" t="str">
        <f t="shared" si="4"/>
        <v/>
      </c>
      <c r="I138" s="15"/>
    </row>
    <row r="139" spans="2:9" x14ac:dyDescent="0.35">
      <c r="B139" s="12">
        <f t="shared" si="3"/>
        <v>132</v>
      </c>
      <c r="C139" s="17"/>
      <c r="D139" s="17"/>
      <c r="E139" s="17"/>
      <c r="F139" s="17"/>
      <c r="G139" s="91"/>
      <c r="H139" s="92" t="str">
        <f t="shared" si="4"/>
        <v/>
      </c>
      <c r="I139" s="15"/>
    </row>
    <row r="140" spans="2:9" x14ac:dyDescent="0.35">
      <c r="B140" s="12">
        <f t="shared" si="3"/>
        <v>133</v>
      </c>
      <c r="C140" s="17"/>
      <c r="D140" s="17"/>
      <c r="E140" s="17"/>
      <c r="F140" s="17"/>
      <c r="G140" s="91"/>
      <c r="H140" s="92" t="str">
        <f t="shared" si="4"/>
        <v/>
      </c>
      <c r="I140" s="15"/>
    </row>
    <row r="141" spans="2:9" x14ac:dyDescent="0.35">
      <c r="B141" s="12">
        <f t="shared" si="3"/>
        <v>134</v>
      </c>
      <c r="C141" s="17"/>
      <c r="D141" s="17"/>
      <c r="E141" s="17"/>
      <c r="F141" s="17"/>
      <c r="G141" s="91"/>
      <c r="H141" s="92" t="str">
        <f t="shared" si="4"/>
        <v/>
      </c>
      <c r="I141" s="15"/>
    </row>
    <row r="142" spans="2:9" x14ac:dyDescent="0.35">
      <c r="B142" s="12">
        <f t="shared" si="3"/>
        <v>135</v>
      </c>
      <c r="C142" s="17"/>
      <c r="D142" s="17"/>
      <c r="E142" s="17"/>
      <c r="F142" s="17"/>
      <c r="G142" s="91"/>
      <c r="H142" s="92" t="str">
        <f t="shared" si="4"/>
        <v/>
      </c>
      <c r="I142" s="15"/>
    </row>
    <row r="143" spans="2:9" x14ac:dyDescent="0.35">
      <c r="B143" s="12">
        <f t="shared" si="3"/>
        <v>136</v>
      </c>
      <c r="C143" s="17"/>
      <c r="D143" s="17"/>
      <c r="E143" s="17"/>
      <c r="F143" s="17"/>
      <c r="G143" s="91"/>
      <c r="H143" s="92" t="str">
        <f t="shared" si="4"/>
        <v/>
      </c>
      <c r="I143" s="15"/>
    </row>
    <row r="144" spans="2:9" x14ac:dyDescent="0.35">
      <c r="B144" s="12">
        <f t="shared" si="3"/>
        <v>137</v>
      </c>
      <c r="C144" s="17"/>
      <c r="D144" s="17"/>
      <c r="E144" s="17"/>
      <c r="F144" s="17"/>
      <c r="G144" s="91"/>
      <c r="H144" s="92" t="str">
        <f t="shared" si="4"/>
        <v/>
      </c>
      <c r="I144" s="15"/>
    </row>
    <row r="145" spans="2:9" x14ac:dyDescent="0.35">
      <c r="B145" s="12">
        <f t="shared" si="3"/>
        <v>138</v>
      </c>
      <c r="C145" s="17"/>
      <c r="D145" s="17"/>
      <c r="E145" s="17"/>
      <c r="F145" s="17"/>
      <c r="G145" s="91"/>
      <c r="H145" s="92" t="str">
        <f t="shared" si="4"/>
        <v/>
      </c>
      <c r="I145" s="15"/>
    </row>
    <row r="146" spans="2:9" x14ac:dyDescent="0.35">
      <c r="B146" s="12">
        <f t="shared" si="3"/>
        <v>139</v>
      </c>
      <c r="C146" s="17"/>
      <c r="D146" s="17"/>
      <c r="E146" s="17"/>
      <c r="F146" s="17"/>
      <c r="G146" s="91"/>
      <c r="H146" s="92" t="str">
        <f t="shared" si="4"/>
        <v/>
      </c>
      <c r="I146" s="15"/>
    </row>
    <row r="147" spans="2:9" x14ac:dyDescent="0.35">
      <c r="B147" s="12">
        <f t="shared" si="3"/>
        <v>140</v>
      </c>
      <c r="C147" s="17"/>
      <c r="D147" s="17"/>
      <c r="E147" s="17"/>
      <c r="F147" s="17"/>
      <c r="G147" s="91"/>
      <c r="H147" s="92" t="str">
        <f t="shared" si="4"/>
        <v/>
      </c>
      <c r="I147" s="15"/>
    </row>
    <row r="148" spans="2:9" x14ac:dyDescent="0.35">
      <c r="B148" s="12">
        <f t="shared" si="3"/>
        <v>141</v>
      </c>
      <c r="C148" s="17"/>
      <c r="D148" s="17"/>
      <c r="E148" s="17"/>
      <c r="F148" s="17"/>
      <c r="G148" s="91"/>
      <c r="H148" s="92" t="str">
        <f t="shared" si="4"/>
        <v/>
      </c>
      <c r="I148" s="15"/>
    </row>
    <row r="149" spans="2:9" x14ac:dyDescent="0.35">
      <c r="B149" s="12">
        <f t="shared" si="3"/>
        <v>142</v>
      </c>
      <c r="C149" s="17"/>
      <c r="D149" s="17"/>
      <c r="E149" s="17"/>
      <c r="F149" s="17"/>
      <c r="G149" s="91"/>
      <c r="H149" s="92" t="str">
        <f t="shared" si="4"/>
        <v/>
      </c>
      <c r="I149" s="15"/>
    </row>
    <row r="150" spans="2:9" x14ac:dyDescent="0.35">
      <c r="B150" s="12">
        <f t="shared" si="3"/>
        <v>143</v>
      </c>
      <c r="C150" s="17"/>
      <c r="D150" s="17"/>
      <c r="E150" s="17"/>
      <c r="F150" s="17"/>
      <c r="G150" s="91"/>
      <c r="H150" s="92" t="str">
        <f t="shared" si="4"/>
        <v/>
      </c>
      <c r="I150" s="15"/>
    </row>
    <row r="151" spans="2:9" x14ac:dyDescent="0.35">
      <c r="B151" s="12">
        <f t="shared" si="3"/>
        <v>144</v>
      </c>
      <c r="C151" s="17"/>
      <c r="D151" s="17"/>
      <c r="E151" s="17"/>
      <c r="F151" s="17"/>
      <c r="G151" s="91"/>
      <c r="H151" s="92" t="str">
        <f t="shared" si="4"/>
        <v/>
      </c>
      <c r="I151" s="15"/>
    </row>
    <row r="152" spans="2:9" x14ac:dyDescent="0.35">
      <c r="B152" s="12">
        <f t="shared" si="3"/>
        <v>145</v>
      </c>
      <c r="C152" s="17"/>
      <c r="D152" s="17"/>
      <c r="E152" s="17"/>
      <c r="F152" s="17"/>
      <c r="G152" s="91"/>
      <c r="H152" s="92" t="str">
        <f t="shared" si="4"/>
        <v/>
      </c>
      <c r="I152" s="15"/>
    </row>
    <row r="153" spans="2:9" x14ac:dyDescent="0.35">
      <c r="B153" s="12">
        <f t="shared" si="3"/>
        <v>146</v>
      </c>
      <c r="C153" s="17"/>
      <c r="D153" s="17"/>
      <c r="E153" s="17"/>
      <c r="F153" s="17"/>
      <c r="G153" s="91"/>
      <c r="H153" s="92" t="str">
        <f t="shared" si="4"/>
        <v/>
      </c>
      <c r="I153" s="15"/>
    </row>
    <row r="154" spans="2:9" x14ac:dyDescent="0.35">
      <c r="B154" s="12">
        <f t="shared" si="3"/>
        <v>147</v>
      </c>
      <c r="C154" s="17"/>
      <c r="D154" s="17"/>
      <c r="E154" s="17"/>
      <c r="F154" s="17"/>
      <c r="G154" s="91"/>
      <c r="H154" s="92" t="str">
        <f t="shared" si="4"/>
        <v/>
      </c>
      <c r="I154" s="15"/>
    </row>
    <row r="155" spans="2:9" x14ac:dyDescent="0.35">
      <c r="B155" s="12">
        <f t="shared" si="3"/>
        <v>148</v>
      </c>
      <c r="C155" s="17"/>
      <c r="D155" s="17"/>
      <c r="E155" s="17"/>
      <c r="F155" s="17"/>
      <c r="G155" s="91"/>
      <c r="H155" s="92" t="str">
        <f t="shared" si="4"/>
        <v/>
      </c>
      <c r="I155" s="15"/>
    </row>
    <row r="156" spans="2:9" x14ac:dyDescent="0.35">
      <c r="B156" s="12">
        <f t="shared" si="3"/>
        <v>149</v>
      </c>
      <c r="C156" s="17"/>
      <c r="D156" s="17"/>
      <c r="E156" s="17"/>
      <c r="F156" s="17"/>
      <c r="G156" s="91"/>
      <c r="H156" s="92" t="str">
        <f t="shared" si="4"/>
        <v/>
      </c>
      <c r="I156" s="15"/>
    </row>
    <row r="157" spans="2:9" x14ac:dyDescent="0.35">
      <c r="B157" s="12">
        <f t="shared" si="3"/>
        <v>150</v>
      </c>
      <c r="C157" s="17"/>
      <c r="D157" s="17"/>
      <c r="E157" s="17"/>
      <c r="F157" s="17"/>
      <c r="G157" s="91"/>
      <c r="H157" s="92" t="str">
        <f t="shared" si="4"/>
        <v/>
      </c>
      <c r="I157" s="15"/>
    </row>
    <row r="158" spans="2:9" x14ac:dyDescent="0.35">
      <c r="B158" s="12">
        <f t="shared" si="3"/>
        <v>151</v>
      </c>
      <c r="C158" s="17"/>
      <c r="D158" s="17"/>
      <c r="E158" s="17"/>
      <c r="F158" s="17"/>
      <c r="G158" s="91"/>
      <c r="H158" s="92" t="str">
        <f t="shared" si="4"/>
        <v/>
      </c>
      <c r="I158" s="15"/>
    </row>
    <row r="159" spans="2:9" x14ac:dyDescent="0.35">
      <c r="B159" s="12">
        <f t="shared" si="3"/>
        <v>152</v>
      </c>
      <c r="C159" s="17"/>
      <c r="D159" s="17"/>
      <c r="E159" s="17"/>
      <c r="F159" s="17"/>
      <c r="G159" s="91"/>
      <c r="H159" s="92" t="str">
        <f t="shared" si="4"/>
        <v/>
      </c>
      <c r="I159" s="15"/>
    </row>
    <row r="160" spans="2:9" x14ac:dyDescent="0.35">
      <c r="B160" s="12">
        <f t="shared" si="3"/>
        <v>153</v>
      </c>
      <c r="C160" s="17"/>
      <c r="D160" s="17"/>
      <c r="E160" s="17"/>
      <c r="F160" s="17"/>
      <c r="G160" s="91"/>
      <c r="H160" s="92" t="str">
        <f t="shared" si="4"/>
        <v/>
      </c>
      <c r="I160" s="15"/>
    </row>
    <row r="161" spans="2:9" x14ac:dyDescent="0.35">
      <c r="B161" s="12">
        <f t="shared" si="3"/>
        <v>154</v>
      </c>
      <c r="C161" s="17"/>
      <c r="D161" s="17"/>
      <c r="E161" s="17"/>
      <c r="F161" s="17"/>
      <c r="G161" s="91"/>
      <c r="H161" s="92" t="str">
        <f t="shared" si="4"/>
        <v/>
      </c>
      <c r="I161" s="15"/>
    </row>
    <row r="162" spans="2:9" x14ac:dyDescent="0.35">
      <c r="B162" s="12">
        <f t="shared" si="3"/>
        <v>155</v>
      </c>
      <c r="C162" s="17"/>
      <c r="D162" s="17"/>
      <c r="E162" s="17"/>
      <c r="F162" s="17"/>
      <c r="G162" s="91"/>
      <c r="H162" s="92" t="str">
        <f t="shared" si="4"/>
        <v/>
      </c>
      <c r="I162" s="15"/>
    </row>
    <row r="163" spans="2:9" x14ac:dyDescent="0.35">
      <c r="B163" s="12">
        <f t="shared" si="3"/>
        <v>156</v>
      </c>
      <c r="C163" s="17"/>
      <c r="D163" s="17"/>
      <c r="E163" s="17"/>
      <c r="F163" s="17"/>
      <c r="G163" s="91"/>
      <c r="H163" s="92" t="str">
        <f t="shared" si="4"/>
        <v/>
      </c>
      <c r="I163" s="15"/>
    </row>
    <row r="164" spans="2:9" x14ac:dyDescent="0.35">
      <c r="B164" s="12">
        <f t="shared" si="3"/>
        <v>157</v>
      </c>
      <c r="C164" s="17"/>
      <c r="D164" s="17"/>
      <c r="E164" s="17"/>
      <c r="F164" s="17"/>
      <c r="G164" s="91"/>
      <c r="H164" s="92" t="str">
        <f t="shared" si="4"/>
        <v/>
      </c>
      <c r="I164" s="15"/>
    </row>
    <row r="165" spans="2:9" x14ac:dyDescent="0.35">
      <c r="B165" s="12">
        <f t="shared" si="3"/>
        <v>158</v>
      </c>
      <c r="C165" s="17"/>
      <c r="D165" s="17"/>
      <c r="E165" s="17"/>
      <c r="F165" s="17"/>
      <c r="G165" s="91"/>
      <c r="H165" s="92" t="str">
        <f t="shared" si="4"/>
        <v/>
      </c>
      <c r="I165" s="15"/>
    </row>
    <row r="166" spans="2:9" x14ac:dyDescent="0.35">
      <c r="B166" s="12">
        <f t="shared" si="3"/>
        <v>159</v>
      </c>
      <c r="C166" s="17"/>
      <c r="D166" s="17"/>
      <c r="E166" s="17"/>
      <c r="F166" s="17"/>
      <c r="G166" s="91"/>
      <c r="H166" s="92" t="str">
        <f t="shared" si="4"/>
        <v/>
      </c>
      <c r="I166" s="15"/>
    </row>
    <row r="167" spans="2:9" x14ac:dyDescent="0.35">
      <c r="B167" s="12">
        <f t="shared" si="3"/>
        <v>160</v>
      </c>
      <c r="C167" s="17"/>
      <c r="D167" s="17"/>
      <c r="E167" s="17"/>
      <c r="F167" s="17"/>
      <c r="G167" s="91"/>
      <c r="H167" s="92" t="str">
        <f t="shared" si="4"/>
        <v/>
      </c>
      <c r="I167" s="15"/>
    </row>
    <row r="168" spans="2:9" x14ac:dyDescent="0.35">
      <c r="B168" s="12">
        <f t="shared" si="3"/>
        <v>161</v>
      </c>
      <c r="C168" s="17"/>
      <c r="D168" s="17"/>
      <c r="E168" s="17"/>
      <c r="F168" s="17"/>
      <c r="G168" s="91"/>
      <c r="H168" s="92" t="str">
        <f t="shared" si="4"/>
        <v/>
      </c>
      <c r="I168" s="15"/>
    </row>
    <row r="169" spans="2:9" x14ac:dyDescent="0.35">
      <c r="B169" s="12">
        <f t="shared" si="3"/>
        <v>162</v>
      </c>
      <c r="C169" s="17"/>
      <c r="D169" s="17"/>
      <c r="E169" s="17"/>
      <c r="F169" s="17"/>
      <c r="G169" s="91"/>
      <c r="H169" s="92" t="str">
        <f t="shared" si="4"/>
        <v/>
      </c>
      <c r="I169" s="15"/>
    </row>
    <row r="170" spans="2:9" x14ac:dyDescent="0.35">
      <c r="B170" s="12">
        <f t="shared" si="3"/>
        <v>163</v>
      </c>
      <c r="C170" s="17"/>
      <c r="D170" s="17"/>
      <c r="E170" s="17"/>
      <c r="F170" s="17"/>
      <c r="G170" s="91"/>
      <c r="H170" s="92" t="str">
        <f t="shared" si="4"/>
        <v/>
      </c>
      <c r="I170" s="15"/>
    </row>
    <row r="171" spans="2:9" x14ac:dyDescent="0.35">
      <c r="B171" s="12">
        <f t="shared" si="3"/>
        <v>164</v>
      </c>
      <c r="C171" s="17"/>
      <c r="D171" s="17"/>
      <c r="E171" s="17"/>
      <c r="F171" s="17"/>
      <c r="G171" s="91"/>
      <c r="H171" s="92" t="str">
        <f t="shared" si="4"/>
        <v/>
      </c>
      <c r="I171" s="15"/>
    </row>
    <row r="172" spans="2:9" x14ac:dyDescent="0.35">
      <c r="B172" s="12">
        <f t="shared" si="3"/>
        <v>165</v>
      </c>
      <c r="C172" s="17"/>
      <c r="D172" s="17"/>
      <c r="E172" s="17"/>
      <c r="F172" s="17"/>
      <c r="G172" s="91"/>
      <c r="H172" s="92" t="str">
        <f t="shared" si="4"/>
        <v/>
      </c>
      <c r="I172" s="15"/>
    </row>
    <row r="173" spans="2:9" x14ac:dyDescent="0.35">
      <c r="B173" s="12">
        <f t="shared" si="3"/>
        <v>166</v>
      </c>
      <c r="C173" s="17"/>
      <c r="D173" s="17"/>
      <c r="E173" s="17"/>
      <c r="F173" s="17"/>
      <c r="G173" s="91"/>
      <c r="H173" s="92" t="str">
        <f t="shared" si="4"/>
        <v/>
      </c>
      <c r="I173" s="15"/>
    </row>
    <row r="174" spans="2:9" x14ac:dyDescent="0.35">
      <c r="B174" s="12">
        <f t="shared" si="3"/>
        <v>167</v>
      </c>
      <c r="C174" s="17"/>
      <c r="D174" s="17"/>
      <c r="E174" s="17"/>
      <c r="F174" s="17"/>
      <c r="G174" s="91"/>
      <c r="H174" s="92" t="str">
        <f t="shared" si="4"/>
        <v/>
      </c>
      <c r="I174" s="15"/>
    </row>
    <row r="175" spans="2:9" x14ac:dyDescent="0.35">
      <c r="B175" s="12">
        <f t="shared" si="3"/>
        <v>168</v>
      </c>
      <c r="C175" s="17"/>
      <c r="D175" s="17"/>
      <c r="E175" s="17"/>
      <c r="F175" s="17"/>
      <c r="G175" s="91"/>
      <c r="H175" s="92" t="str">
        <f t="shared" si="4"/>
        <v/>
      </c>
      <c r="I175" s="15"/>
    </row>
    <row r="176" spans="2:9" x14ac:dyDescent="0.35">
      <c r="B176" s="12">
        <f t="shared" si="3"/>
        <v>169</v>
      </c>
      <c r="C176" s="17"/>
      <c r="D176" s="17"/>
      <c r="E176" s="17"/>
      <c r="F176" s="17"/>
      <c r="G176" s="91"/>
      <c r="H176" s="92" t="str">
        <f t="shared" si="4"/>
        <v/>
      </c>
      <c r="I176" s="15"/>
    </row>
    <row r="177" spans="2:9" x14ac:dyDescent="0.35">
      <c r="B177" s="12">
        <f t="shared" si="3"/>
        <v>170</v>
      </c>
      <c r="C177" s="17"/>
      <c r="D177" s="17"/>
      <c r="E177" s="17"/>
      <c r="F177" s="17"/>
      <c r="G177" s="91"/>
      <c r="H177" s="92" t="str">
        <f t="shared" si="4"/>
        <v/>
      </c>
      <c r="I177" s="15"/>
    </row>
    <row r="178" spans="2:9" x14ac:dyDescent="0.35">
      <c r="B178" s="12">
        <f t="shared" si="3"/>
        <v>171</v>
      </c>
      <c r="C178" s="17"/>
      <c r="D178" s="17"/>
      <c r="E178" s="17"/>
      <c r="F178" s="17"/>
      <c r="G178" s="91"/>
      <c r="H178" s="92" t="str">
        <f t="shared" si="4"/>
        <v/>
      </c>
      <c r="I178" s="15"/>
    </row>
    <row r="179" spans="2:9" x14ac:dyDescent="0.35">
      <c r="B179" s="12">
        <f t="shared" ref="B179:B242" si="5">B178+1</f>
        <v>172</v>
      </c>
      <c r="C179" s="17"/>
      <c r="D179" s="17"/>
      <c r="E179" s="17"/>
      <c r="F179" s="17"/>
      <c r="G179" s="91"/>
      <c r="H179" s="92" t="str">
        <f t="shared" si="4"/>
        <v/>
      </c>
      <c r="I179" s="15"/>
    </row>
    <row r="180" spans="2:9" x14ac:dyDescent="0.35">
      <c r="B180" s="12">
        <f t="shared" si="5"/>
        <v>173</v>
      </c>
      <c r="C180" s="17"/>
      <c r="D180" s="17"/>
      <c r="E180" s="17"/>
      <c r="F180" s="17"/>
      <c r="G180" s="91"/>
      <c r="H180" s="92" t="str">
        <f t="shared" si="4"/>
        <v/>
      </c>
      <c r="I180" s="15"/>
    </row>
    <row r="181" spans="2:9" x14ac:dyDescent="0.35">
      <c r="B181" s="12">
        <f t="shared" si="5"/>
        <v>174</v>
      </c>
      <c r="C181" s="17"/>
      <c r="D181" s="17"/>
      <c r="E181" s="17"/>
      <c r="F181" s="17"/>
      <c r="G181" s="91"/>
      <c r="H181" s="92" t="str">
        <f t="shared" si="4"/>
        <v/>
      </c>
      <c r="I181" s="15"/>
    </row>
    <row r="182" spans="2:9" x14ac:dyDescent="0.35">
      <c r="B182" s="12">
        <f t="shared" si="5"/>
        <v>175</v>
      </c>
      <c r="C182" s="17"/>
      <c r="D182" s="17"/>
      <c r="E182" s="17"/>
      <c r="F182" s="17"/>
      <c r="G182" s="91"/>
      <c r="H182" s="92" t="str">
        <f t="shared" si="4"/>
        <v/>
      </c>
      <c r="I182" s="15"/>
    </row>
    <row r="183" spans="2:9" x14ac:dyDescent="0.35">
      <c r="B183" s="12">
        <f t="shared" si="5"/>
        <v>176</v>
      </c>
      <c r="C183" s="17"/>
      <c r="D183" s="17"/>
      <c r="E183" s="17"/>
      <c r="F183" s="17"/>
      <c r="G183" s="91"/>
      <c r="H183" s="92" t="str">
        <f t="shared" si="4"/>
        <v/>
      </c>
      <c r="I183" s="15"/>
    </row>
    <row r="184" spans="2:9" x14ac:dyDescent="0.35">
      <c r="B184" s="12">
        <f t="shared" si="5"/>
        <v>177</v>
      </c>
      <c r="C184" s="17"/>
      <c r="D184" s="17"/>
      <c r="E184" s="17"/>
      <c r="F184" s="17"/>
      <c r="G184" s="91"/>
      <c r="H184" s="92" t="str">
        <f t="shared" si="4"/>
        <v/>
      </c>
      <c r="I184" s="15"/>
    </row>
    <row r="185" spans="2:9" x14ac:dyDescent="0.35">
      <c r="B185" s="12">
        <f t="shared" si="5"/>
        <v>178</v>
      </c>
      <c r="C185" s="17"/>
      <c r="D185" s="17"/>
      <c r="E185" s="17"/>
      <c r="F185" s="17"/>
      <c r="G185" s="91"/>
      <c r="H185" s="92" t="str">
        <f t="shared" si="4"/>
        <v/>
      </c>
      <c r="I185" s="15"/>
    </row>
    <row r="186" spans="2:9" x14ac:dyDescent="0.35">
      <c r="B186" s="12">
        <f t="shared" si="5"/>
        <v>179</v>
      </c>
      <c r="C186" s="17"/>
      <c r="D186" s="17"/>
      <c r="E186" s="17"/>
      <c r="F186" s="17"/>
      <c r="G186" s="91"/>
      <c r="H186" s="92" t="str">
        <f t="shared" si="4"/>
        <v/>
      </c>
      <c r="I186" s="15"/>
    </row>
    <row r="187" spans="2:9" x14ac:dyDescent="0.35">
      <c r="B187" s="12">
        <f t="shared" si="5"/>
        <v>180</v>
      </c>
      <c r="C187" s="17"/>
      <c r="D187" s="17"/>
      <c r="E187" s="17"/>
      <c r="F187" s="17"/>
      <c r="G187" s="91"/>
      <c r="H187" s="92" t="str">
        <f t="shared" si="4"/>
        <v/>
      </c>
      <c r="I187" s="15"/>
    </row>
    <row r="188" spans="2:9" x14ac:dyDescent="0.35">
      <c r="B188" s="12">
        <f t="shared" si="5"/>
        <v>181</v>
      </c>
      <c r="C188" s="17"/>
      <c r="D188" s="17"/>
      <c r="E188" s="17"/>
      <c r="F188" s="17"/>
      <c r="G188" s="91"/>
      <c r="H188" s="92" t="str">
        <f t="shared" si="4"/>
        <v/>
      </c>
      <c r="I188" s="15"/>
    </row>
    <row r="189" spans="2:9" x14ac:dyDescent="0.35">
      <c r="B189" s="12">
        <f t="shared" si="5"/>
        <v>182</v>
      </c>
      <c r="C189" s="17"/>
      <c r="D189" s="17"/>
      <c r="E189" s="17"/>
      <c r="F189" s="17"/>
      <c r="G189" s="91"/>
      <c r="H189" s="92" t="str">
        <f t="shared" si="4"/>
        <v/>
      </c>
      <c r="I189" s="15"/>
    </row>
    <row r="190" spans="2:9" x14ac:dyDescent="0.35">
      <c r="B190" s="12">
        <f t="shared" si="5"/>
        <v>183</v>
      </c>
      <c r="C190" s="17"/>
      <c r="D190" s="17"/>
      <c r="E190" s="17"/>
      <c r="F190" s="17"/>
      <c r="G190" s="91"/>
      <c r="H190" s="92" t="str">
        <f t="shared" si="4"/>
        <v/>
      </c>
      <c r="I190" s="15"/>
    </row>
    <row r="191" spans="2:9" x14ac:dyDescent="0.35">
      <c r="B191" s="12">
        <f t="shared" si="5"/>
        <v>184</v>
      </c>
      <c r="C191" s="17"/>
      <c r="D191" s="17"/>
      <c r="E191" s="17"/>
      <c r="F191" s="17"/>
      <c r="G191" s="91"/>
      <c r="H191" s="92" t="str">
        <f t="shared" si="4"/>
        <v/>
      </c>
      <c r="I191" s="15"/>
    </row>
    <row r="192" spans="2:9" x14ac:dyDescent="0.35">
      <c r="B192" s="12">
        <f t="shared" si="5"/>
        <v>185</v>
      </c>
      <c r="C192" s="17"/>
      <c r="D192" s="17"/>
      <c r="E192" s="17"/>
      <c r="F192" s="17"/>
      <c r="G192" s="91"/>
      <c r="H192" s="92" t="str">
        <f t="shared" si="4"/>
        <v/>
      </c>
      <c r="I192" s="15"/>
    </row>
    <row r="193" spans="2:9" x14ac:dyDescent="0.35">
      <c r="B193" s="12">
        <f t="shared" si="5"/>
        <v>186</v>
      </c>
      <c r="C193" s="17"/>
      <c r="D193" s="17"/>
      <c r="E193" s="17"/>
      <c r="F193" s="17"/>
      <c r="G193" s="91"/>
      <c r="H193" s="92" t="str">
        <f t="shared" si="4"/>
        <v/>
      </c>
      <c r="I193" s="15"/>
    </row>
    <row r="194" spans="2:9" x14ac:dyDescent="0.35">
      <c r="B194" s="12">
        <f t="shared" si="5"/>
        <v>187</v>
      </c>
      <c r="C194" s="17"/>
      <c r="D194" s="17"/>
      <c r="E194" s="17"/>
      <c r="F194" s="17"/>
      <c r="G194" s="91"/>
      <c r="H194" s="92" t="str">
        <f t="shared" si="4"/>
        <v/>
      </c>
      <c r="I194" s="15"/>
    </row>
    <row r="195" spans="2:9" x14ac:dyDescent="0.35">
      <c r="B195" s="12">
        <f t="shared" si="5"/>
        <v>188</v>
      </c>
      <c r="C195" s="17"/>
      <c r="D195" s="17"/>
      <c r="E195" s="17"/>
      <c r="F195" s="17"/>
      <c r="G195" s="91"/>
      <c r="H195" s="92" t="str">
        <f t="shared" si="4"/>
        <v/>
      </c>
      <c r="I195" s="15"/>
    </row>
    <row r="196" spans="2:9" x14ac:dyDescent="0.35">
      <c r="B196" s="12">
        <f t="shared" si="5"/>
        <v>189</v>
      </c>
      <c r="C196" s="17"/>
      <c r="D196" s="17"/>
      <c r="E196" s="17"/>
      <c r="F196" s="17"/>
      <c r="G196" s="91"/>
      <c r="H196" s="92" t="str">
        <f t="shared" si="4"/>
        <v/>
      </c>
      <c r="I196" s="15"/>
    </row>
    <row r="197" spans="2:9" x14ac:dyDescent="0.35">
      <c r="B197" s="12">
        <f t="shared" si="5"/>
        <v>190</v>
      </c>
      <c r="C197" s="17"/>
      <c r="D197" s="17"/>
      <c r="E197" s="17"/>
      <c r="F197" s="17"/>
      <c r="G197" s="91"/>
      <c r="H197" s="92" t="str">
        <f t="shared" si="4"/>
        <v/>
      </c>
      <c r="I197" s="15"/>
    </row>
    <row r="198" spans="2:9" x14ac:dyDescent="0.35">
      <c r="B198" s="12">
        <f t="shared" si="5"/>
        <v>191</v>
      </c>
      <c r="C198" s="17"/>
      <c r="D198" s="17"/>
      <c r="E198" s="17"/>
      <c r="F198" s="17"/>
      <c r="G198" s="91"/>
      <c r="H198" s="92" t="str">
        <f t="shared" si="4"/>
        <v/>
      </c>
      <c r="I198" s="15"/>
    </row>
    <row r="199" spans="2:9" x14ac:dyDescent="0.35">
      <c r="B199" s="12">
        <f t="shared" si="5"/>
        <v>192</v>
      </c>
      <c r="C199" s="17"/>
      <c r="D199" s="17"/>
      <c r="E199" s="17"/>
      <c r="F199" s="17"/>
      <c r="G199" s="91"/>
      <c r="H199" s="92" t="str">
        <f t="shared" si="4"/>
        <v/>
      </c>
      <c r="I199" s="15"/>
    </row>
    <row r="200" spans="2:9" x14ac:dyDescent="0.35">
      <c r="B200" s="12">
        <f t="shared" si="5"/>
        <v>193</v>
      </c>
      <c r="C200" s="17"/>
      <c r="D200" s="17"/>
      <c r="E200" s="17"/>
      <c r="F200" s="17"/>
      <c r="G200" s="91"/>
      <c r="H200" s="92" t="str">
        <f t="shared" ref="H200:H263" si="6">IF(G200*F200&gt;0,G200*F200,"")</f>
        <v/>
      </c>
      <c r="I200" s="15"/>
    </row>
    <row r="201" spans="2:9" x14ac:dyDescent="0.35">
      <c r="B201" s="12">
        <f t="shared" si="5"/>
        <v>194</v>
      </c>
      <c r="C201" s="17"/>
      <c r="D201" s="17"/>
      <c r="E201" s="17"/>
      <c r="F201" s="17"/>
      <c r="G201" s="91"/>
      <c r="H201" s="92" t="str">
        <f t="shared" si="6"/>
        <v/>
      </c>
      <c r="I201" s="15"/>
    </row>
    <row r="202" spans="2:9" x14ac:dyDescent="0.35">
      <c r="B202" s="12">
        <f t="shared" si="5"/>
        <v>195</v>
      </c>
      <c r="C202" s="17"/>
      <c r="D202" s="17"/>
      <c r="E202" s="17"/>
      <c r="F202" s="17"/>
      <c r="G202" s="91"/>
      <c r="H202" s="92" t="str">
        <f t="shared" si="6"/>
        <v/>
      </c>
      <c r="I202" s="15"/>
    </row>
    <row r="203" spans="2:9" x14ac:dyDescent="0.35">
      <c r="B203" s="12">
        <f t="shared" si="5"/>
        <v>196</v>
      </c>
      <c r="C203" s="17"/>
      <c r="D203" s="17"/>
      <c r="E203" s="17"/>
      <c r="F203" s="17"/>
      <c r="G203" s="91"/>
      <c r="H203" s="92" t="str">
        <f t="shared" si="6"/>
        <v/>
      </c>
      <c r="I203" s="15"/>
    </row>
    <row r="204" spans="2:9" x14ac:dyDescent="0.35">
      <c r="B204" s="12">
        <f t="shared" si="5"/>
        <v>197</v>
      </c>
      <c r="C204" s="17"/>
      <c r="D204" s="17"/>
      <c r="E204" s="17"/>
      <c r="F204" s="17"/>
      <c r="G204" s="91"/>
      <c r="H204" s="92" t="str">
        <f t="shared" si="6"/>
        <v/>
      </c>
      <c r="I204" s="15"/>
    </row>
    <row r="205" spans="2:9" x14ac:dyDescent="0.35">
      <c r="B205" s="12">
        <f t="shared" si="5"/>
        <v>198</v>
      </c>
      <c r="C205" s="17"/>
      <c r="D205" s="17"/>
      <c r="E205" s="17"/>
      <c r="F205" s="17"/>
      <c r="G205" s="91"/>
      <c r="H205" s="92" t="str">
        <f t="shared" si="6"/>
        <v/>
      </c>
      <c r="I205" s="15"/>
    </row>
    <row r="206" spans="2:9" x14ac:dyDescent="0.35">
      <c r="B206" s="12">
        <f t="shared" si="5"/>
        <v>199</v>
      </c>
      <c r="C206" s="17"/>
      <c r="D206" s="17"/>
      <c r="E206" s="17"/>
      <c r="F206" s="17"/>
      <c r="G206" s="91"/>
      <c r="H206" s="92" t="str">
        <f t="shared" si="6"/>
        <v/>
      </c>
      <c r="I206" s="15"/>
    </row>
    <row r="207" spans="2:9" x14ac:dyDescent="0.35">
      <c r="B207" s="12">
        <f t="shared" si="5"/>
        <v>200</v>
      </c>
      <c r="C207" s="17"/>
      <c r="D207" s="17"/>
      <c r="E207" s="17"/>
      <c r="F207" s="17"/>
      <c r="G207" s="91"/>
      <c r="H207" s="92" t="str">
        <f t="shared" si="6"/>
        <v/>
      </c>
      <c r="I207" s="15"/>
    </row>
    <row r="208" spans="2:9" x14ac:dyDescent="0.35">
      <c r="B208" s="12">
        <f t="shared" si="5"/>
        <v>201</v>
      </c>
      <c r="C208" s="17"/>
      <c r="D208" s="17"/>
      <c r="E208" s="17"/>
      <c r="F208" s="17"/>
      <c r="G208" s="91"/>
      <c r="H208" s="92" t="str">
        <f t="shared" si="6"/>
        <v/>
      </c>
      <c r="I208" s="15"/>
    </row>
    <row r="209" spans="2:9" x14ac:dyDescent="0.35">
      <c r="B209" s="12">
        <f t="shared" si="5"/>
        <v>202</v>
      </c>
      <c r="C209" s="17"/>
      <c r="D209" s="17"/>
      <c r="E209" s="17"/>
      <c r="F209" s="17"/>
      <c r="G209" s="91"/>
      <c r="H209" s="92" t="str">
        <f t="shared" si="6"/>
        <v/>
      </c>
      <c r="I209" s="15"/>
    </row>
    <row r="210" spans="2:9" x14ac:dyDescent="0.35">
      <c r="B210" s="12">
        <f t="shared" si="5"/>
        <v>203</v>
      </c>
      <c r="C210" s="17"/>
      <c r="D210" s="17"/>
      <c r="E210" s="17"/>
      <c r="F210" s="17"/>
      <c r="G210" s="91"/>
      <c r="H210" s="92" t="str">
        <f t="shared" si="6"/>
        <v/>
      </c>
      <c r="I210" s="15"/>
    </row>
    <row r="211" spans="2:9" x14ac:dyDescent="0.35">
      <c r="B211" s="12">
        <f t="shared" si="5"/>
        <v>204</v>
      </c>
      <c r="C211" s="17"/>
      <c r="D211" s="17"/>
      <c r="E211" s="17"/>
      <c r="F211" s="17"/>
      <c r="G211" s="91"/>
      <c r="H211" s="92" t="str">
        <f t="shared" si="6"/>
        <v/>
      </c>
      <c r="I211" s="15"/>
    </row>
    <row r="212" spans="2:9" x14ac:dyDescent="0.35">
      <c r="B212" s="12">
        <f t="shared" si="5"/>
        <v>205</v>
      </c>
      <c r="C212" s="17"/>
      <c r="D212" s="17"/>
      <c r="E212" s="17"/>
      <c r="F212" s="17"/>
      <c r="G212" s="91"/>
      <c r="H212" s="92" t="str">
        <f t="shared" si="6"/>
        <v/>
      </c>
      <c r="I212" s="15"/>
    </row>
    <row r="213" spans="2:9" x14ac:dyDescent="0.35">
      <c r="B213" s="12">
        <f t="shared" si="5"/>
        <v>206</v>
      </c>
      <c r="C213" s="17"/>
      <c r="D213" s="17"/>
      <c r="E213" s="17"/>
      <c r="F213" s="17"/>
      <c r="G213" s="91"/>
      <c r="H213" s="92" t="str">
        <f t="shared" si="6"/>
        <v/>
      </c>
      <c r="I213" s="15"/>
    </row>
    <row r="214" spans="2:9" x14ac:dyDescent="0.35">
      <c r="B214" s="12">
        <f t="shared" si="5"/>
        <v>207</v>
      </c>
      <c r="C214" s="17"/>
      <c r="D214" s="17"/>
      <c r="E214" s="17"/>
      <c r="F214" s="17"/>
      <c r="G214" s="91"/>
      <c r="H214" s="92" t="str">
        <f t="shared" si="6"/>
        <v/>
      </c>
      <c r="I214" s="15"/>
    </row>
    <row r="215" spans="2:9" x14ac:dyDescent="0.35">
      <c r="B215" s="12">
        <f t="shared" si="5"/>
        <v>208</v>
      </c>
      <c r="C215" s="17"/>
      <c r="D215" s="17"/>
      <c r="E215" s="17"/>
      <c r="F215" s="17"/>
      <c r="G215" s="91"/>
      <c r="H215" s="92" t="str">
        <f t="shared" si="6"/>
        <v/>
      </c>
      <c r="I215" s="15"/>
    </row>
    <row r="216" spans="2:9" x14ac:dyDescent="0.35">
      <c r="B216" s="12">
        <f t="shared" si="5"/>
        <v>209</v>
      </c>
      <c r="C216" s="17"/>
      <c r="D216" s="17"/>
      <c r="E216" s="17"/>
      <c r="F216" s="17"/>
      <c r="G216" s="91"/>
      <c r="H216" s="92" t="str">
        <f t="shared" si="6"/>
        <v/>
      </c>
      <c r="I216" s="15"/>
    </row>
    <row r="217" spans="2:9" x14ac:dyDescent="0.35">
      <c r="B217" s="12">
        <f t="shared" si="5"/>
        <v>210</v>
      </c>
      <c r="C217" s="17"/>
      <c r="D217" s="17"/>
      <c r="E217" s="17"/>
      <c r="F217" s="17"/>
      <c r="G217" s="91"/>
      <c r="H217" s="92" t="str">
        <f t="shared" si="6"/>
        <v/>
      </c>
      <c r="I217" s="15"/>
    </row>
    <row r="218" spans="2:9" x14ac:dyDescent="0.35">
      <c r="B218" s="12">
        <f t="shared" si="5"/>
        <v>211</v>
      </c>
      <c r="C218" s="17"/>
      <c r="D218" s="17"/>
      <c r="E218" s="17"/>
      <c r="F218" s="17"/>
      <c r="G218" s="91"/>
      <c r="H218" s="92" t="str">
        <f t="shared" si="6"/>
        <v/>
      </c>
      <c r="I218" s="15"/>
    </row>
    <row r="219" spans="2:9" x14ac:dyDescent="0.35">
      <c r="B219" s="12">
        <f t="shared" si="5"/>
        <v>212</v>
      </c>
      <c r="C219" s="17"/>
      <c r="D219" s="17"/>
      <c r="E219" s="17"/>
      <c r="F219" s="17"/>
      <c r="G219" s="91"/>
      <c r="H219" s="92" t="str">
        <f t="shared" si="6"/>
        <v/>
      </c>
      <c r="I219" s="15"/>
    </row>
    <row r="220" spans="2:9" x14ac:dyDescent="0.35">
      <c r="B220" s="12">
        <f t="shared" si="5"/>
        <v>213</v>
      </c>
      <c r="C220" s="17"/>
      <c r="D220" s="17"/>
      <c r="E220" s="17"/>
      <c r="F220" s="17"/>
      <c r="G220" s="91"/>
      <c r="H220" s="92" t="str">
        <f t="shared" si="6"/>
        <v/>
      </c>
      <c r="I220" s="15"/>
    </row>
    <row r="221" spans="2:9" x14ac:dyDescent="0.35">
      <c r="B221" s="12">
        <f t="shared" si="5"/>
        <v>214</v>
      </c>
      <c r="C221" s="17"/>
      <c r="D221" s="17"/>
      <c r="E221" s="17"/>
      <c r="F221" s="17"/>
      <c r="G221" s="91"/>
      <c r="H221" s="92" t="str">
        <f t="shared" si="6"/>
        <v/>
      </c>
      <c r="I221" s="15"/>
    </row>
    <row r="222" spans="2:9" x14ac:dyDescent="0.35">
      <c r="B222" s="12">
        <f t="shared" si="5"/>
        <v>215</v>
      </c>
      <c r="C222" s="17"/>
      <c r="D222" s="17"/>
      <c r="E222" s="17"/>
      <c r="F222" s="17"/>
      <c r="G222" s="91"/>
      <c r="H222" s="92" t="str">
        <f t="shared" si="6"/>
        <v/>
      </c>
      <c r="I222" s="15"/>
    </row>
    <row r="223" spans="2:9" x14ac:dyDescent="0.35">
      <c r="B223" s="12">
        <f t="shared" si="5"/>
        <v>216</v>
      </c>
      <c r="C223" s="17"/>
      <c r="D223" s="17"/>
      <c r="E223" s="17"/>
      <c r="F223" s="17"/>
      <c r="G223" s="91"/>
      <c r="H223" s="92" t="str">
        <f t="shared" si="6"/>
        <v/>
      </c>
      <c r="I223" s="15"/>
    </row>
    <row r="224" spans="2:9" x14ac:dyDescent="0.35">
      <c r="B224" s="12">
        <f t="shared" si="5"/>
        <v>217</v>
      </c>
      <c r="C224" s="17"/>
      <c r="D224" s="17"/>
      <c r="E224" s="17"/>
      <c r="F224" s="17"/>
      <c r="G224" s="91"/>
      <c r="H224" s="92" t="str">
        <f t="shared" si="6"/>
        <v/>
      </c>
      <c r="I224" s="15"/>
    </row>
    <row r="225" spans="2:9" x14ac:dyDescent="0.35">
      <c r="B225" s="12">
        <f t="shared" si="5"/>
        <v>218</v>
      </c>
      <c r="C225" s="17"/>
      <c r="D225" s="17"/>
      <c r="E225" s="17"/>
      <c r="F225" s="17"/>
      <c r="G225" s="91"/>
      <c r="H225" s="92" t="str">
        <f t="shared" si="6"/>
        <v/>
      </c>
      <c r="I225" s="15"/>
    </row>
    <row r="226" spans="2:9" x14ac:dyDescent="0.35">
      <c r="B226" s="12">
        <f t="shared" si="5"/>
        <v>219</v>
      </c>
      <c r="C226" s="17"/>
      <c r="D226" s="17"/>
      <c r="E226" s="17"/>
      <c r="F226" s="17"/>
      <c r="G226" s="91"/>
      <c r="H226" s="92" t="str">
        <f t="shared" si="6"/>
        <v/>
      </c>
      <c r="I226" s="15"/>
    </row>
    <row r="227" spans="2:9" x14ac:dyDescent="0.35">
      <c r="B227" s="12">
        <f t="shared" si="5"/>
        <v>220</v>
      </c>
      <c r="C227" s="17"/>
      <c r="D227" s="17"/>
      <c r="E227" s="17"/>
      <c r="F227" s="17"/>
      <c r="G227" s="91"/>
      <c r="H227" s="92" t="str">
        <f t="shared" si="6"/>
        <v/>
      </c>
      <c r="I227" s="15"/>
    </row>
    <row r="228" spans="2:9" x14ac:dyDescent="0.35">
      <c r="B228" s="12">
        <f t="shared" si="5"/>
        <v>221</v>
      </c>
      <c r="C228" s="17"/>
      <c r="D228" s="17"/>
      <c r="E228" s="17"/>
      <c r="F228" s="17"/>
      <c r="G228" s="91"/>
      <c r="H228" s="92" t="str">
        <f t="shared" si="6"/>
        <v/>
      </c>
      <c r="I228" s="15"/>
    </row>
    <row r="229" spans="2:9" x14ac:dyDescent="0.35">
      <c r="B229" s="12">
        <f t="shared" si="5"/>
        <v>222</v>
      </c>
      <c r="C229" s="17"/>
      <c r="D229" s="17"/>
      <c r="E229" s="17"/>
      <c r="F229" s="17"/>
      <c r="G229" s="91"/>
      <c r="H229" s="92" t="str">
        <f t="shared" si="6"/>
        <v/>
      </c>
      <c r="I229" s="15"/>
    </row>
    <row r="230" spans="2:9" x14ac:dyDescent="0.35">
      <c r="B230" s="12">
        <f t="shared" si="5"/>
        <v>223</v>
      </c>
      <c r="C230" s="17"/>
      <c r="D230" s="17"/>
      <c r="E230" s="17"/>
      <c r="F230" s="17"/>
      <c r="G230" s="91"/>
      <c r="H230" s="92" t="str">
        <f t="shared" si="6"/>
        <v/>
      </c>
      <c r="I230" s="15"/>
    </row>
    <row r="231" spans="2:9" x14ac:dyDescent="0.35">
      <c r="B231" s="12">
        <f t="shared" si="5"/>
        <v>224</v>
      </c>
      <c r="C231" s="17"/>
      <c r="D231" s="17"/>
      <c r="E231" s="17"/>
      <c r="F231" s="17"/>
      <c r="G231" s="91"/>
      <c r="H231" s="92" t="str">
        <f t="shared" si="6"/>
        <v/>
      </c>
      <c r="I231" s="15"/>
    </row>
    <row r="232" spans="2:9" x14ac:dyDescent="0.35">
      <c r="B232" s="12">
        <f t="shared" si="5"/>
        <v>225</v>
      </c>
      <c r="C232" s="17"/>
      <c r="D232" s="17"/>
      <c r="E232" s="17"/>
      <c r="F232" s="17"/>
      <c r="G232" s="91"/>
      <c r="H232" s="92" t="str">
        <f t="shared" si="6"/>
        <v/>
      </c>
      <c r="I232" s="15"/>
    </row>
    <row r="233" spans="2:9" x14ac:dyDescent="0.35">
      <c r="B233" s="12">
        <f t="shared" si="5"/>
        <v>226</v>
      </c>
      <c r="C233" s="17"/>
      <c r="D233" s="17"/>
      <c r="E233" s="17"/>
      <c r="F233" s="17"/>
      <c r="G233" s="91"/>
      <c r="H233" s="92" t="str">
        <f t="shared" si="6"/>
        <v/>
      </c>
      <c r="I233" s="15"/>
    </row>
    <row r="234" spans="2:9" x14ac:dyDescent="0.35">
      <c r="B234" s="12">
        <f t="shared" si="5"/>
        <v>227</v>
      </c>
      <c r="C234" s="17"/>
      <c r="D234" s="17"/>
      <c r="E234" s="17"/>
      <c r="F234" s="17"/>
      <c r="G234" s="91"/>
      <c r="H234" s="92" t="str">
        <f t="shared" si="6"/>
        <v/>
      </c>
      <c r="I234" s="15"/>
    </row>
    <row r="235" spans="2:9" x14ac:dyDescent="0.35">
      <c r="B235" s="12">
        <f t="shared" si="5"/>
        <v>228</v>
      </c>
      <c r="C235" s="17"/>
      <c r="D235" s="17"/>
      <c r="E235" s="17"/>
      <c r="F235" s="17"/>
      <c r="G235" s="91"/>
      <c r="H235" s="92" t="str">
        <f t="shared" si="6"/>
        <v/>
      </c>
      <c r="I235" s="15"/>
    </row>
    <row r="236" spans="2:9" x14ac:dyDescent="0.35">
      <c r="B236" s="12">
        <f t="shared" si="5"/>
        <v>229</v>
      </c>
      <c r="C236" s="17"/>
      <c r="D236" s="17"/>
      <c r="E236" s="17"/>
      <c r="F236" s="17"/>
      <c r="G236" s="91"/>
      <c r="H236" s="92" t="str">
        <f t="shared" si="6"/>
        <v/>
      </c>
      <c r="I236" s="15"/>
    </row>
    <row r="237" spans="2:9" x14ac:dyDescent="0.35">
      <c r="B237" s="12">
        <f t="shared" si="5"/>
        <v>230</v>
      </c>
      <c r="C237" s="17"/>
      <c r="D237" s="17"/>
      <c r="E237" s="17"/>
      <c r="F237" s="17"/>
      <c r="G237" s="91"/>
      <c r="H237" s="92" t="str">
        <f t="shared" si="6"/>
        <v/>
      </c>
      <c r="I237" s="15"/>
    </row>
    <row r="238" spans="2:9" x14ac:dyDescent="0.35">
      <c r="B238" s="12">
        <f t="shared" si="5"/>
        <v>231</v>
      </c>
      <c r="C238" s="17"/>
      <c r="D238" s="17"/>
      <c r="E238" s="17"/>
      <c r="F238" s="17"/>
      <c r="G238" s="91"/>
      <c r="H238" s="92" t="str">
        <f t="shared" si="6"/>
        <v/>
      </c>
      <c r="I238" s="15"/>
    </row>
    <row r="239" spans="2:9" x14ac:dyDescent="0.35">
      <c r="B239" s="12">
        <f t="shared" si="5"/>
        <v>232</v>
      </c>
      <c r="C239" s="17"/>
      <c r="D239" s="17"/>
      <c r="E239" s="17"/>
      <c r="F239" s="17"/>
      <c r="G239" s="91"/>
      <c r="H239" s="92" t="str">
        <f t="shared" si="6"/>
        <v/>
      </c>
      <c r="I239" s="15"/>
    </row>
    <row r="240" spans="2:9" x14ac:dyDescent="0.35">
      <c r="B240" s="12">
        <f t="shared" si="5"/>
        <v>233</v>
      </c>
      <c r="C240" s="17"/>
      <c r="D240" s="17"/>
      <c r="E240" s="17"/>
      <c r="F240" s="17"/>
      <c r="G240" s="91"/>
      <c r="H240" s="92" t="str">
        <f t="shared" si="6"/>
        <v/>
      </c>
      <c r="I240" s="15"/>
    </row>
    <row r="241" spans="2:9" x14ac:dyDescent="0.35">
      <c r="B241" s="12">
        <f t="shared" si="5"/>
        <v>234</v>
      </c>
      <c r="C241" s="17"/>
      <c r="D241" s="17"/>
      <c r="E241" s="17"/>
      <c r="F241" s="17"/>
      <c r="G241" s="91"/>
      <c r="H241" s="92" t="str">
        <f t="shared" si="6"/>
        <v/>
      </c>
      <c r="I241" s="15"/>
    </row>
    <row r="242" spans="2:9" x14ac:dyDescent="0.35">
      <c r="B242" s="12">
        <f t="shared" si="5"/>
        <v>235</v>
      </c>
      <c r="C242" s="17"/>
      <c r="D242" s="17"/>
      <c r="E242" s="17"/>
      <c r="F242" s="17"/>
      <c r="G242" s="91"/>
      <c r="H242" s="92" t="str">
        <f t="shared" si="6"/>
        <v/>
      </c>
      <c r="I242" s="15"/>
    </row>
    <row r="243" spans="2:9" x14ac:dyDescent="0.35">
      <c r="B243" s="12">
        <f t="shared" ref="B243:B306" si="7">B242+1</f>
        <v>236</v>
      </c>
      <c r="C243" s="17"/>
      <c r="D243" s="17"/>
      <c r="E243" s="17"/>
      <c r="F243" s="17"/>
      <c r="G243" s="91"/>
      <c r="H243" s="92" t="str">
        <f t="shared" si="6"/>
        <v/>
      </c>
      <c r="I243" s="15"/>
    </row>
    <row r="244" spans="2:9" x14ac:dyDescent="0.35">
      <c r="B244" s="12">
        <f t="shared" si="7"/>
        <v>237</v>
      </c>
      <c r="C244" s="17"/>
      <c r="D244" s="17"/>
      <c r="E244" s="17"/>
      <c r="F244" s="17"/>
      <c r="G244" s="91"/>
      <c r="H244" s="92" t="str">
        <f t="shared" si="6"/>
        <v/>
      </c>
      <c r="I244" s="15"/>
    </row>
    <row r="245" spans="2:9" x14ac:dyDescent="0.35">
      <c r="B245" s="12">
        <f t="shared" si="7"/>
        <v>238</v>
      </c>
      <c r="C245" s="17"/>
      <c r="D245" s="17"/>
      <c r="E245" s="17"/>
      <c r="F245" s="17"/>
      <c r="G245" s="91"/>
      <c r="H245" s="92" t="str">
        <f t="shared" si="6"/>
        <v/>
      </c>
      <c r="I245" s="15"/>
    </row>
    <row r="246" spans="2:9" x14ac:dyDescent="0.35">
      <c r="B246" s="12">
        <f t="shared" si="7"/>
        <v>239</v>
      </c>
      <c r="C246" s="17"/>
      <c r="D246" s="17"/>
      <c r="E246" s="17"/>
      <c r="F246" s="17"/>
      <c r="G246" s="91"/>
      <c r="H246" s="92" t="str">
        <f t="shared" si="6"/>
        <v/>
      </c>
      <c r="I246" s="15"/>
    </row>
    <row r="247" spans="2:9" x14ac:dyDescent="0.35">
      <c r="B247" s="12">
        <f t="shared" si="7"/>
        <v>240</v>
      </c>
      <c r="C247" s="17"/>
      <c r="D247" s="17"/>
      <c r="E247" s="17"/>
      <c r="F247" s="17"/>
      <c r="G247" s="91"/>
      <c r="H247" s="92" t="str">
        <f t="shared" si="6"/>
        <v/>
      </c>
      <c r="I247" s="15"/>
    </row>
    <row r="248" spans="2:9" x14ac:dyDescent="0.35">
      <c r="B248" s="12">
        <f t="shared" si="7"/>
        <v>241</v>
      </c>
      <c r="C248" s="17"/>
      <c r="D248" s="17"/>
      <c r="E248" s="17"/>
      <c r="F248" s="17"/>
      <c r="G248" s="91"/>
      <c r="H248" s="92" t="str">
        <f t="shared" si="6"/>
        <v/>
      </c>
      <c r="I248" s="15"/>
    </row>
    <row r="249" spans="2:9" x14ac:dyDescent="0.35">
      <c r="B249" s="12">
        <f t="shared" si="7"/>
        <v>242</v>
      </c>
      <c r="C249" s="17"/>
      <c r="D249" s="17"/>
      <c r="E249" s="17"/>
      <c r="F249" s="17"/>
      <c r="G249" s="91"/>
      <c r="H249" s="92" t="str">
        <f t="shared" si="6"/>
        <v/>
      </c>
      <c r="I249" s="15"/>
    </row>
    <row r="250" spans="2:9" x14ac:dyDescent="0.35">
      <c r="B250" s="12">
        <f t="shared" si="7"/>
        <v>243</v>
      </c>
      <c r="C250" s="17"/>
      <c r="D250" s="17"/>
      <c r="E250" s="17"/>
      <c r="F250" s="17"/>
      <c r="G250" s="91"/>
      <c r="H250" s="92" t="str">
        <f t="shared" si="6"/>
        <v/>
      </c>
      <c r="I250" s="15"/>
    </row>
    <row r="251" spans="2:9" x14ac:dyDescent="0.35">
      <c r="B251" s="12">
        <f t="shared" si="7"/>
        <v>244</v>
      </c>
      <c r="C251" s="17"/>
      <c r="D251" s="17"/>
      <c r="E251" s="17"/>
      <c r="F251" s="17"/>
      <c r="G251" s="91"/>
      <c r="H251" s="92" t="str">
        <f t="shared" si="6"/>
        <v/>
      </c>
      <c r="I251" s="15"/>
    </row>
    <row r="252" spans="2:9" x14ac:dyDescent="0.35">
      <c r="B252" s="12">
        <f t="shared" si="7"/>
        <v>245</v>
      </c>
      <c r="C252" s="17"/>
      <c r="D252" s="17"/>
      <c r="E252" s="17"/>
      <c r="F252" s="17"/>
      <c r="G252" s="91"/>
      <c r="H252" s="92" t="str">
        <f t="shared" si="6"/>
        <v/>
      </c>
      <c r="I252" s="15"/>
    </row>
    <row r="253" spans="2:9" x14ac:dyDescent="0.35">
      <c r="B253" s="12">
        <f t="shared" si="7"/>
        <v>246</v>
      </c>
      <c r="C253" s="17"/>
      <c r="D253" s="17"/>
      <c r="E253" s="17"/>
      <c r="F253" s="17"/>
      <c r="G253" s="91"/>
      <c r="H253" s="92" t="str">
        <f t="shared" si="6"/>
        <v/>
      </c>
      <c r="I253" s="15"/>
    </row>
    <row r="254" spans="2:9" x14ac:dyDescent="0.35">
      <c r="B254" s="12">
        <f t="shared" si="7"/>
        <v>247</v>
      </c>
      <c r="C254" s="17"/>
      <c r="D254" s="17"/>
      <c r="E254" s="17"/>
      <c r="F254" s="17"/>
      <c r="G254" s="91"/>
      <c r="H254" s="92" t="str">
        <f t="shared" si="6"/>
        <v/>
      </c>
      <c r="I254" s="15"/>
    </row>
    <row r="255" spans="2:9" x14ac:dyDescent="0.35">
      <c r="B255" s="12">
        <f t="shared" si="7"/>
        <v>248</v>
      </c>
      <c r="C255" s="17"/>
      <c r="D255" s="17"/>
      <c r="E255" s="17"/>
      <c r="F255" s="17"/>
      <c r="G255" s="91"/>
      <c r="H255" s="92" t="str">
        <f t="shared" si="6"/>
        <v/>
      </c>
      <c r="I255" s="15"/>
    </row>
    <row r="256" spans="2:9" x14ac:dyDescent="0.35">
      <c r="B256" s="12">
        <f t="shared" si="7"/>
        <v>249</v>
      </c>
      <c r="C256" s="17"/>
      <c r="D256" s="17"/>
      <c r="E256" s="17"/>
      <c r="F256" s="17"/>
      <c r="G256" s="91"/>
      <c r="H256" s="92" t="str">
        <f t="shared" si="6"/>
        <v/>
      </c>
      <c r="I256" s="15"/>
    </row>
    <row r="257" spans="2:9" x14ac:dyDescent="0.35">
      <c r="B257" s="12">
        <f t="shared" si="7"/>
        <v>250</v>
      </c>
      <c r="C257" s="17"/>
      <c r="D257" s="17"/>
      <c r="E257" s="17"/>
      <c r="F257" s="17"/>
      <c r="G257" s="91"/>
      <c r="H257" s="92" t="str">
        <f t="shared" si="6"/>
        <v/>
      </c>
      <c r="I257" s="15"/>
    </row>
    <row r="258" spans="2:9" x14ac:dyDescent="0.35">
      <c r="B258" s="12">
        <f t="shared" si="7"/>
        <v>251</v>
      </c>
      <c r="C258" s="17"/>
      <c r="D258" s="17"/>
      <c r="E258" s="17"/>
      <c r="F258" s="17"/>
      <c r="G258" s="91"/>
      <c r="H258" s="92" t="str">
        <f t="shared" si="6"/>
        <v/>
      </c>
      <c r="I258" s="15"/>
    </row>
    <row r="259" spans="2:9" x14ac:dyDescent="0.35">
      <c r="B259" s="12">
        <f t="shared" si="7"/>
        <v>252</v>
      </c>
      <c r="C259" s="17"/>
      <c r="D259" s="17"/>
      <c r="E259" s="17"/>
      <c r="F259" s="17"/>
      <c r="G259" s="91"/>
      <c r="H259" s="92" t="str">
        <f t="shared" si="6"/>
        <v/>
      </c>
      <c r="I259" s="15"/>
    </row>
    <row r="260" spans="2:9" x14ac:dyDescent="0.35">
      <c r="B260" s="12">
        <f t="shared" si="7"/>
        <v>253</v>
      </c>
      <c r="C260" s="17"/>
      <c r="D260" s="17"/>
      <c r="E260" s="17"/>
      <c r="F260" s="17"/>
      <c r="G260" s="91"/>
      <c r="H260" s="92" t="str">
        <f t="shared" si="6"/>
        <v/>
      </c>
      <c r="I260" s="15"/>
    </row>
    <row r="261" spans="2:9" x14ac:dyDescent="0.35">
      <c r="B261" s="12">
        <f t="shared" si="7"/>
        <v>254</v>
      </c>
      <c r="C261" s="17"/>
      <c r="D261" s="17"/>
      <c r="E261" s="17"/>
      <c r="F261" s="17"/>
      <c r="G261" s="91"/>
      <c r="H261" s="92" t="str">
        <f t="shared" si="6"/>
        <v/>
      </c>
      <c r="I261" s="15"/>
    </row>
    <row r="262" spans="2:9" x14ac:dyDescent="0.35">
      <c r="B262" s="12">
        <f t="shared" si="7"/>
        <v>255</v>
      </c>
      <c r="C262" s="17"/>
      <c r="D262" s="17"/>
      <c r="E262" s="17"/>
      <c r="F262" s="17"/>
      <c r="G262" s="91"/>
      <c r="H262" s="92" t="str">
        <f t="shared" si="6"/>
        <v/>
      </c>
      <c r="I262" s="15"/>
    </row>
    <row r="263" spans="2:9" x14ac:dyDescent="0.35">
      <c r="B263" s="12">
        <f t="shared" si="7"/>
        <v>256</v>
      </c>
      <c r="C263" s="17"/>
      <c r="D263" s="17"/>
      <c r="E263" s="17"/>
      <c r="F263" s="17"/>
      <c r="G263" s="91"/>
      <c r="H263" s="92" t="str">
        <f t="shared" si="6"/>
        <v/>
      </c>
      <c r="I263" s="15"/>
    </row>
    <row r="264" spans="2:9" x14ac:dyDescent="0.35">
      <c r="B264" s="12">
        <f t="shared" si="7"/>
        <v>257</v>
      </c>
      <c r="C264" s="17"/>
      <c r="D264" s="17"/>
      <c r="E264" s="17"/>
      <c r="F264" s="17"/>
      <c r="G264" s="91"/>
      <c r="H264" s="92" t="str">
        <f t="shared" ref="H264:H327" si="8">IF(G264*F264&gt;0,G264*F264,"")</f>
        <v/>
      </c>
      <c r="I264" s="15"/>
    </row>
    <row r="265" spans="2:9" x14ac:dyDescent="0.35">
      <c r="B265" s="12">
        <f t="shared" si="7"/>
        <v>258</v>
      </c>
      <c r="C265" s="17"/>
      <c r="D265" s="17"/>
      <c r="E265" s="17"/>
      <c r="F265" s="17"/>
      <c r="G265" s="91"/>
      <c r="H265" s="92" t="str">
        <f t="shared" si="8"/>
        <v/>
      </c>
      <c r="I265" s="15"/>
    </row>
    <row r="266" spans="2:9" x14ac:dyDescent="0.35">
      <c r="B266" s="12">
        <f t="shared" si="7"/>
        <v>259</v>
      </c>
      <c r="C266" s="17"/>
      <c r="D266" s="17"/>
      <c r="E266" s="17"/>
      <c r="F266" s="17"/>
      <c r="G266" s="91"/>
      <c r="H266" s="92" t="str">
        <f t="shared" si="8"/>
        <v/>
      </c>
      <c r="I266" s="15"/>
    </row>
    <row r="267" spans="2:9" x14ac:dyDescent="0.35">
      <c r="B267" s="12">
        <f t="shared" si="7"/>
        <v>260</v>
      </c>
      <c r="C267" s="17"/>
      <c r="D267" s="17"/>
      <c r="E267" s="17"/>
      <c r="F267" s="17"/>
      <c r="G267" s="91"/>
      <c r="H267" s="92" t="str">
        <f t="shared" si="8"/>
        <v/>
      </c>
      <c r="I267" s="15"/>
    </row>
    <row r="268" spans="2:9" x14ac:dyDescent="0.35">
      <c r="B268" s="12">
        <f t="shared" si="7"/>
        <v>261</v>
      </c>
      <c r="C268" s="17"/>
      <c r="D268" s="17"/>
      <c r="E268" s="17"/>
      <c r="F268" s="17"/>
      <c r="G268" s="91"/>
      <c r="H268" s="92" t="str">
        <f t="shared" si="8"/>
        <v/>
      </c>
      <c r="I268" s="15"/>
    </row>
    <row r="269" spans="2:9" x14ac:dyDescent="0.35">
      <c r="B269" s="12">
        <f t="shared" si="7"/>
        <v>262</v>
      </c>
      <c r="C269" s="17"/>
      <c r="D269" s="17"/>
      <c r="E269" s="17"/>
      <c r="F269" s="17"/>
      <c r="G269" s="91"/>
      <c r="H269" s="92" t="str">
        <f t="shared" si="8"/>
        <v/>
      </c>
      <c r="I269" s="15"/>
    </row>
    <row r="270" spans="2:9" x14ac:dyDescent="0.35">
      <c r="B270" s="12">
        <f t="shared" si="7"/>
        <v>263</v>
      </c>
      <c r="C270" s="17"/>
      <c r="D270" s="17"/>
      <c r="E270" s="17"/>
      <c r="F270" s="17"/>
      <c r="G270" s="91"/>
      <c r="H270" s="92" t="str">
        <f t="shared" si="8"/>
        <v/>
      </c>
      <c r="I270" s="15"/>
    </row>
    <row r="271" spans="2:9" x14ac:dyDescent="0.35">
      <c r="B271" s="12">
        <f t="shared" si="7"/>
        <v>264</v>
      </c>
      <c r="C271" s="17"/>
      <c r="D271" s="17"/>
      <c r="E271" s="17"/>
      <c r="F271" s="17"/>
      <c r="G271" s="91"/>
      <c r="H271" s="92" t="str">
        <f t="shared" si="8"/>
        <v/>
      </c>
      <c r="I271" s="15"/>
    </row>
    <row r="272" spans="2:9" x14ac:dyDescent="0.35">
      <c r="B272" s="12">
        <f t="shared" si="7"/>
        <v>265</v>
      </c>
      <c r="C272" s="17"/>
      <c r="D272" s="17"/>
      <c r="E272" s="17"/>
      <c r="F272" s="17"/>
      <c r="G272" s="91"/>
      <c r="H272" s="92" t="str">
        <f t="shared" si="8"/>
        <v/>
      </c>
      <c r="I272" s="15"/>
    </row>
    <row r="273" spans="2:9" x14ac:dyDescent="0.35">
      <c r="B273" s="12">
        <f t="shared" si="7"/>
        <v>266</v>
      </c>
      <c r="C273" s="17"/>
      <c r="D273" s="17"/>
      <c r="E273" s="17"/>
      <c r="F273" s="17"/>
      <c r="G273" s="91"/>
      <c r="H273" s="92" t="str">
        <f t="shared" si="8"/>
        <v/>
      </c>
      <c r="I273" s="15"/>
    </row>
    <row r="274" spans="2:9" x14ac:dyDescent="0.35">
      <c r="B274" s="12">
        <f t="shared" si="7"/>
        <v>267</v>
      </c>
      <c r="C274" s="17"/>
      <c r="D274" s="17"/>
      <c r="E274" s="17"/>
      <c r="F274" s="17"/>
      <c r="G274" s="91"/>
      <c r="H274" s="92" t="str">
        <f t="shared" si="8"/>
        <v/>
      </c>
      <c r="I274" s="15"/>
    </row>
    <row r="275" spans="2:9" x14ac:dyDescent="0.35">
      <c r="B275" s="12">
        <f t="shared" si="7"/>
        <v>268</v>
      </c>
      <c r="C275" s="17"/>
      <c r="D275" s="17"/>
      <c r="E275" s="17"/>
      <c r="F275" s="17"/>
      <c r="G275" s="91"/>
      <c r="H275" s="92" t="str">
        <f t="shared" si="8"/>
        <v/>
      </c>
      <c r="I275" s="15"/>
    </row>
    <row r="276" spans="2:9" x14ac:dyDescent="0.35">
      <c r="B276" s="12">
        <f t="shared" si="7"/>
        <v>269</v>
      </c>
      <c r="C276" s="17"/>
      <c r="D276" s="17"/>
      <c r="E276" s="17"/>
      <c r="F276" s="17"/>
      <c r="G276" s="91"/>
      <c r="H276" s="92" t="str">
        <f t="shared" si="8"/>
        <v/>
      </c>
      <c r="I276" s="15"/>
    </row>
    <row r="277" spans="2:9" x14ac:dyDescent="0.35">
      <c r="B277" s="12">
        <f t="shared" si="7"/>
        <v>270</v>
      </c>
      <c r="C277" s="17"/>
      <c r="D277" s="17"/>
      <c r="E277" s="17"/>
      <c r="F277" s="17"/>
      <c r="G277" s="91"/>
      <c r="H277" s="92" t="str">
        <f t="shared" si="8"/>
        <v/>
      </c>
      <c r="I277" s="15"/>
    </row>
    <row r="278" spans="2:9" x14ac:dyDescent="0.35">
      <c r="B278" s="12">
        <f t="shared" si="7"/>
        <v>271</v>
      </c>
      <c r="C278" s="17"/>
      <c r="D278" s="17"/>
      <c r="E278" s="17"/>
      <c r="F278" s="17"/>
      <c r="G278" s="91"/>
      <c r="H278" s="92" t="str">
        <f t="shared" si="8"/>
        <v/>
      </c>
      <c r="I278" s="15"/>
    </row>
    <row r="279" spans="2:9" x14ac:dyDescent="0.35">
      <c r="B279" s="12">
        <f t="shared" si="7"/>
        <v>272</v>
      </c>
      <c r="C279" s="17"/>
      <c r="D279" s="17"/>
      <c r="E279" s="17"/>
      <c r="F279" s="17"/>
      <c r="G279" s="91"/>
      <c r="H279" s="92" t="str">
        <f t="shared" si="8"/>
        <v/>
      </c>
      <c r="I279" s="15"/>
    </row>
    <row r="280" spans="2:9" x14ac:dyDescent="0.35">
      <c r="B280" s="12">
        <f t="shared" si="7"/>
        <v>273</v>
      </c>
      <c r="C280" s="17"/>
      <c r="D280" s="17"/>
      <c r="E280" s="17"/>
      <c r="F280" s="17"/>
      <c r="G280" s="91"/>
      <c r="H280" s="92" t="str">
        <f t="shared" si="8"/>
        <v/>
      </c>
      <c r="I280" s="15"/>
    </row>
    <row r="281" spans="2:9" x14ac:dyDescent="0.35">
      <c r="B281" s="12">
        <f t="shared" si="7"/>
        <v>274</v>
      </c>
      <c r="C281" s="17"/>
      <c r="D281" s="17"/>
      <c r="E281" s="17"/>
      <c r="F281" s="17"/>
      <c r="G281" s="91"/>
      <c r="H281" s="92" t="str">
        <f t="shared" si="8"/>
        <v/>
      </c>
      <c r="I281" s="15"/>
    </row>
    <row r="282" spans="2:9" x14ac:dyDescent="0.35">
      <c r="B282" s="12">
        <f t="shared" si="7"/>
        <v>275</v>
      </c>
      <c r="C282" s="17"/>
      <c r="D282" s="17"/>
      <c r="E282" s="17"/>
      <c r="F282" s="17"/>
      <c r="G282" s="91"/>
      <c r="H282" s="92" t="str">
        <f t="shared" si="8"/>
        <v/>
      </c>
      <c r="I282" s="15"/>
    </row>
    <row r="283" spans="2:9" x14ac:dyDescent="0.35">
      <c r="B283" s="12">
        <f t="shared" si="7"/>
        <v>276</v>
      </c>
      <c r="C283" s="17"/>
      <c r="D283" s="17"/>
      <c r="E283" s="17"/>
      <c r="F283" s="17"/>
      <c r="G283" s="91"/>
      <c r="H283" s="92" t="str">
        <f t="shared" si="8"/>
        <v/>
      </c>
      <c r="I283" s="15"/>
    </row>
    <row r="284" spans="2:9" x14ac:dyDescent="0.35">
      <c r="B284" s="12">
        <f t="shared" si="7"/>
        <v>277</v>
      </c>
      <c r="C284" s="17"/>
      <c r="D284" s="17"/>
      <c r="E284" s="17"/>
      <c r="F284" s="17"/>
      <c r="G284" s="91"/>
      <c r="H284" s="92" t="str">
        <f t="shared" si="8"/>
        <v/>
      </c>
      <c r="I284" s="15"/>
    </row>
    <row r="285" spans="2:9" x14ac:dyDescent="0.35">
      <c r="B285" s="12">
        <f t="shared" si="7"/>
        <v>278</v>
      </c>
      <c r="C285" s="17"/>
      <c r="D285" s="17"/>
      <c r="E285" s="17"/>
      <c r="F285" s="17"/>
      <c r="G285" s="91"/>
      <c r="H285" s="92" t="str">
        <f t="shared" si="8"/>
        <v/>
      </c>
      <c r="I285" s="15"/>
    </row>
    <row r="286" spans="2:9" x14ac:dyDescent="0.35">
      <c r="B286" s="12">
        <f t="shared" si="7"/>
        <v>279</v>
      </c>
      <c r="C286" s="17"/>
      <c r="D286" s="17"/>
      <c r="E286" s="17"/>
      <c r="F286" s="17"/>
      <c r="G286" s="91"/>
      <c r="H286" s="92" t="str">
        <f t="shared" si="8"/>
        <v/>
      </c>
      <c r="I286" s="15"/>
    </row>
    <row r="287" spans="2:9" x14ac:dyDescent="0.35">
      <c r="B287" s="12">
        <f t="shared" si="7"/>
        <v>280</v>
      </c>
      <c r="C287" s="17"/>
      <c r="D287" s="17"/>
      <c r="E287" s="17"/>
      <c r="F287" s="17"/>
      <c r="G287" s="91"/>
      <c r="H287" s="92" t="str">
        <f t="shared" si="8"/>
        <v/>
      </c>
      <c r="I287" s="15"/>
    </row>
    <row r="288" spans="2:9" x14ac:dyDescent="0.35">
      <c r="B288" s="12">
        <f t="shared" si="7"/>
        <v>281</v>
      </c>
      <c r="C288" s="17"/>
      <c r="D288" s="17"/>
      <c r="E288" s="17"/>
      <c r="F288" s="17"/>
      <c r="G288" s="91"/>
      <c r="H288" s="92" t="str">
        <f t="shared" si="8"/>
        <v/>
      </c>
      <c r="I288" s="15"/>
    </row>
    <row r="289" spans="2:9" x14ac:dyDescent="0.35">
      <c r="B289" s="12">
        <f t="shared" si="7"/>
        <v>282</v>
      </c>
      <c r="C289" s="17"/>
      <c r="D289" s="17"/>
      <c r="E289" s="17"/>
      <c r="F289" s="17"/>
      <c r="G289" s="91"/>
      <c r="H289" s="92" t="str">
        <f t="shared" si="8"/>
        <v/>
      </c>
      <c r="I289" s="15"/>
    </row>
    <row r="290" spans="2:9" x14ac:dyDescent="0.35">
      <c r="B290" s="12">
        <f t="shared" si="7"/>
        <v>283</v>
      </c>
      <c r="C290" s="17"/>
      <c r="D290" s="17"/>
      <c r="E290" s="17"/>
      <c r="F290" s="17"/>
      <c r="G290" s="91"/>
      <c r="H290" s="92" t="str">
        <f t="shared" si="8"/>
        <v/>
      </c>
      <c r="I290" s="15"/>
    </row>
    <row r="291" spans="2:9" x14ac:dyDescent="0.35">
      <c r="B291" s="12">
        <f t="shared" si="7"/>
        <v>284</v>
      </c>
      <c r="C291" s="17"/>
      <c r="D291" s="17"/>
      <c r="E291" s="17"/>
      <c r="F291" s="17"/>
      <c r="G291" s="91"/>
      <c r="H291" s="92" t="str">
        <f t="shared" si="8"/>
        <v/>
      </c>
      <c r="I291" s="15"/>
    </row>
    <row r="292" spans="2:9" x14ac:dyDescent="0.35">
      <c r="B292" s="12">
        <f t="shared" si="7"/>
        <v>285</v>
      </c>
      <c r="C292" s="17"/>
      <c r="D292" s="17"/>
      <c r="E292" s="17"/>
      <c r="F292" s="17"/>
      <c r="G292" s="91"/>
      <c r="H292" s="92" t="str">
        <f t="shared" si="8"/>
        <v/>
      </c>
      <c r="I292" s="15"/>
    </row>
    <row r="293" spans="2:9" x14ac:dyDescent="0.35">
      <c r="B293" s="12">
        <f t="shared" si="7"/>
        <v>286</v>
      </c>
      <c r="C293" s="17"/>
      <c r="D293" s="17"/>
      <c r="E293" s="17"/>
      <c r="F293" s="17"/>
      <c r="G293" s="91"/>
      <c r="H293" s="92" t="str">
        <f t="shared" si="8"/>
        <v/>
      </c>
      <c r="I293" s="15"/>
    </row>
    <row r="294" spans="2:9" x14ac:dyDescent="0.35">
      <c r="B294" s="12">
        <f t="shared" si="7"/>
        <v>287</v>
      </c>
      <c r="C294" s="17"/>
      <c r="D294" s="17"/>
      <c r="E294" s="17"/>
      <c r="F294" s="17"/>
      <c r="G294" s="91"/>
      <c r="H294" s="92" t="str">
        <f t="shared" si="8"/>
        <v/>
      </c>
      <c r="I294" s="15"/>
    </row>
    <row r="295" spans="2:9" x14ac:dyDescent="0.35">
      <c r="B295" s="12">
        <f t="shared" si="7"/>
        <v>288</v>
      </c>
      <c r="C295" s="17"/>
      <c r="D295" s="17"/>
      <c r="E295" s="17"/>
      <c r="F295" s="17"/>
      <c r="G295" s="91"/>
      <c r="H295" s="92" t="str">
        <f t="shared" si="8"/>
        <v/>
      </c>
      <c r="I295" s="15"/>
    </row>
    <row r="296" spans="2:9" x14ac:dyDescent="0.35">
      <c r="B296" s="12">
        <f t="shared" si="7"/>
        <v>289</v>
      </c>
      <c r="C296" s="17"/>
      <c r="D296" s="17"/>
      <c r="E296" s="17"/>
      <c r="F296" s="17"/>
      <c r="G296" s="91"/>
      <c r="H296" s="92" t="str">
        <f t="shared" si="8"/>
        <v/>
      </c>
      <c r="I296" s="15"/>
    </row>
    <row r="297" spans="2:9" x14ac:dyDescent="0.35">
      <c r="B297" s="12">
        <f t="shared" si="7"/>
        <v>290</v>
      </c>
      <c r="C297" s="17"/>
      <c r="D297" s="17"/>
      <c r="E297" s="17"/>
      <c r="F297" s="17"/>
      <c r="G297" s="91"/>
      <c r="H297" s="92" t="str">
        <f t="shared" si="8"/>
        <v/>
      </c>
      <c r="I297" s="15"/>
    </row>
    <row r="298" spans="2:9" x14ac:dyDescent="0.35">
      <c r="B298" s="12">
        <f t="shared" si="7"/>
        <v>291</v>
      </c>
      <c r="C298" s="17"/>
      <c r="D298" s="17"/>
      <c r="E298" s="17"/>
      <c r="F298" s="17"/>
      <c r="G298" s="91"/>
      <c r="H298" s="92" t="str">
        <f t="shared" si="8"/>
        <v/>
      </c>
      <c r="I298" s="15"/>
    </row>
    <row r="299" spans="2:9" x14ac:dyDescent="0.35">
      <c r="B299" s="12">
        <f t="shared" si="7"/>
        <v>292</v>
      </c>
      <c r="C299" s="17"/>
      <c r="D299" s="17"/>
      <c r="E299" s="17"/>
      <c r="F299" s="17"/>
      <c r="G299" s="91"/>
      <c r="H299" s="92" t="str">
        <f t="shared" si="8"/>
        <v/>
      </c>
      <c r="I299" s="15"/>
    </row>
    <row r="300" spans="2:9" x14ac:dyDescent="0.35">
      <c r="B300" s="12">
        <f t="shared" si="7"/>
        <v>293</v>
      </c>
      <c r="C300" s="17"/>
      <c r="D300" s="17"/>
      <c r="E300" s="17"/>
      <c r="F300" s="17"/>
      <c r="G300" s="91"/>
      <c r="H300" s="92" t="str">
        <f t="shared" si="8"/>
        <v/>
      </c>
      <c r="I300" s="15"/>
    </row>
    <row r="301" spans="2:9" x14ac:dyDescent="0.35">
      <c r="B301" s="12">
        <f t="shared" si="7"/>
        <v>294</v>
      </c>
      <c r="C301" s="17"/>
      <c r="D301" s="17"/>
      <c r="E301" s="17"/>
      <c r="F301" s="17"/>
      <c r="G301" s="91"/>
      <c r="H301" s="92" t="str">
        <f t="shared" si="8"/>
        <v/>
      </c>
      <c r="I301" s="15"/>
    </row>
    <row r="302" spans="2:9" x14ac:dyDescent="0.35">
      <c r="B302" s="12">
        <f t="shared" si="7"/>
        <v>295</v>
      </c>
      <c r="C302" s="17"/>
      <c r="D302" s="17"/>
      <c r="E302" s="17"/>
      <c r="F302" s="17"/>
      <c r="G302" s="91"/>
      <c r="H302" s="92" t="str">
        <f t="shared" si="8"/>
        <v/>
      </c>
      <c r="I302" s="15"/>
    </row>
    <row r="303" spans="2:9" x14ac:dyDescent="0.35">
      <c r="B303" s="12">
        <f t="shared" si="7"/>
        <v>296</v>
      </c>
      <c r="C303" s="17"/>
      <c r="D303" s="17"/>
      <c r="E303" s="17"/>
      <c r="F303" s="17"/>
      <c r="G303" s="91"/>
      <c r="H303" s="92" t="str">
        <f t="shared" si="8"/>
        <v/>
      </c>
      <c r="I303" s="15"/>
    </row>
    <row r="304" spans="2:9" x14ac:dyDescent="0.35">
      <c r="B304" s="12">
        <f t="shared" si="7"/>
        <v>297</v>
      </c>
      <c r="C304" s="17"/>
      <c r="D304" s="17"/>
      <c r="E304" s="17"/>
      <c r="F304" s="17"/>
      <c r="G304" s="91"/>
      <c r="H304" s="92" t="str">
        <f t="shared" si="8"/>
        <v/>
      </c>
      <c r="I304" s="15"/>
    </row>
    <row r="305" spans="2:9" x14ac:dyDescent="0.35">
      <c r="B305" s="12">
        <f t="shared" si="7"/>
        <v>298</v>
      </c>
      <c r="C305" s="17"/>
      <c r="D305" s="17"/>
      <c r="E305" s="17"/>
      <c r="F305" s="17"/>
      <c r="G305" s="91"/>
      <c r="H305" s="92" t="str">
        <f t="shared" si="8"/>
        <v/>
      </c>
      <c r="I305" s="15"/>
    </row>
    <row r="306" spans="2:9" x14ac:dyDescent="0.35">
      <c r="B306" s="12">
        <f t="shared" si="7"/>
        <v>299</v>
      </c>
      <c r="C306" s="17"/>
      <c r="D306" s="17"/>
      <c r="E306" s="17"/>
      <c r="F306" s="17"/>
      <c r="G306" s="91"/>
      <c r="H306" s="92" t="str">
        <f t="shared" si="8"/>
        <v/>
      </c>
      <c r="I306" s="15"/>
    </row>
    <row r="307" spans="2:9" x14ac:dyDescent="0.35">
      <c r="B307" s="12">
        <f t="shared" ref="B307:B348" si="9">B306+1</f>
        <v>300</v>
      </c>
      <c r="C307" s="17"/>
      <c r="D307" s="17"/>
      <c r="E307" s="17"/>
      <c r="F307" s="17"/>
      <c r="G307" s="91"/>
      <c r="H307" s="92" t="str">
        <f t="shared" si="8"/>
        <v/>
      </c>
      <c r="I307" s="15"/>
    </row>
    <row r="308" spans="2:9" x14ac:dyDescent="0.35">
      <c r="B308" s="12">
        <f t="shared" si="9"/>
        <v>301</v>
      </c>
      <c r="C308" s="17"/>
      <c r="D308" s="17"/>
      <c r="E308" s="17"/>
      <c r="F308" s="17"/>
      <c r="G308" s="91"/>
      <c r="H308" s="92" t="str">
        <f t="shared" si="8"/>
        <v/>
      </c>
      <c r="I308" s="15"/>
    </row>
    <row r="309" spans="2:9" x14ac:dyDescent="0.35">
      <c r="B309" s="12">
        <f t="shared" si="9"/>
        <v>302</v>
      </c>
      <c r="C309" s="17"/>
      <c r="D309" s="17"/>
      <c r="E309" s="17"/>
      <c r="F309" s="17"/>
      <c r="G309" s="91"/>
      <c r="H309" s="92" t="str">
        <f t="shared" si="8"/>
        <v/>
      </c>
      <c r="I309" s="15"/>
    </row>
    <row r="310" spans="2:9" x14ac:dyDescent="0.35">
      <c r="B310" s="12">
        <f t="shared" si="9"/>
        <v>303</v>
      </c>
      <c r="C310" s="17"/>
      <c r="D310" s="17"/>
      <c r="E310" s="17"/>
      <c r="F310" s="17"/>
      <c r="G310" s="91"/>
      <c r="H310" s="92" t="str">
        <f t="shared" si="8"/>
        <v/>
      </c>
      <c r="I310" s="15"/>
    </row>
    <row r="311" spans="2:9" x14ac:dyDescent="0.35">
      <c r="B311" s="12">
        <f t="shared" si="9"/>
        <v>304</v>
      </c>
      <c r="C311" s="17"/>
      <c r="D311" s="17"/>
      <c r="E311" s="17"/>
      <c r="F311" s="17"/>
      <c r="G311" s="91"/>
      <c r="H311" s="92" t="str">
        <f t="shared" si="8"/>
        <v/>
      </c>
      <c r="I311" s="15"/>
    </row>
    <row r="312" spans="2:9" x14ac:dyDescent="0.35">
      <c r="B312" s="12">
        <f t="shared" si="9"/>
        <v>305</v>
      </c>
      <c r="C312" s="17"/>
      <c r="D312" s="17"/>
      <c r="E312" s="17"/>
      <c r="F312" s="17"/>
      <c r="G312" s="91"/>
      <c r="H312" s="92" t="str">
        <f t="shared" si="8"/>
        <v/>
      </c>
      <c r="I312" s="15"/>
    </row>
    <row r="313" spans="2:9" x14ac:dyDescent="0.35">
      <c r="B313" s="12">
        <f t="shared" si="9"/>
        <v>306</v>
      </c>
      <c r="C313" s="17"/>
      <c r="D313" s="17"/>
      <c r="E313" s="17"/>
      <c r="F313" s="17"/>
      <c r="G313" s="91"/>
      <c r="H313" s="92" t="str">
        <f t="shared" si="8"/>
        <v/>
      </c>
      <c r="I313" s="15"/>
    </row>
    <row r="314" spans="2:9" x14ac:dyDescent="0.35">
      <c r="B314" s="12">
        <f t="shared" si="9"/>
        <v>307</v>
      </c>
      <c r="C314" s="17"/>
      <c r="D314" s="17"/>
      <c r="E314" s="17"/>
      <c r="F314" s="17"/>
      <c r="G314" s="91"/>
      <c r="H314" s="92" t="str">
        <f t="shared" si="8"/>
        <v/>
      </c>
      <c r="I314" s="15"/>
    </row>
    <row r="315" spans="2:9" x14ac:dyDescent="0.35">
      <c r="B315" s="12">
        <f t="shared" si="9"/>
        <v>308</v>
      </c>
      <c r="C315" s="17"/>
      <c r="D315" s="17"/>
      <c r="E315" s="17"/>
      <c r="F315" s="17"/>
      <c r="G315" s="91"/>
      <c r="H315" s="92" t="str">
        <f t="shared" si="8"/>
        <v/>
      </c>
      <c r="I315" s="15"/>
    </row>
    <row r="316" spans="2:9" x14ac:dyDescent="0.35">
      <c r="B316" s="12">
        <f t="shared" si="9"/>
        <v>309</v>
      </c>
      <c r="C316" s="17"/>
      <c r="D316" s="17"/>
      <c r="E316" s="17"/>
      <c r="F316" s="17"/>
      <c r="G316" s="91"/>
      <c r="H316" s="92" t="str">
        <f t="shared" si="8"/>
        <v/>
      </c>
      <c r="I316" s="15"/>
    </row>
    <row r="317" spans="2:9" x14ac:dyDescent="0.35">
      <c r="B317" s="12">
        <f t="shared" si="9"/>
        <v>310</v>
      </c>
      <c r="C317" s="17"/>
      <c r="D317" s="17"/>
      <c r="E317" s="17"/>
      <c r="F317" s="17"/>
      <c r="G317" s="91"/>
      <c r="H317" s="92" t="str">
        <f t="shared" si="8"/>
        <v/>
      </c>
      <c r="I317" s="15"/>
    </row>
    <row r="318" spans="2:9" x14ac:dyDescent="0.35">
      <c r="B318" s="12">
        <f t="shared" si="9"/>
        <v>311</v>
      </c>
      <c r="C318" s="17"/>
      <c r="D318" s="17"/>
      <c r="E318" s="17"/>
      <c r="F318" s="17"/>
      <c r="G318" s="91"/>
      <c r="H318" s="92" t="str">
        <f t="shared" si="8"/>
        <v/>
      </c>
      <c r="I318" s="15"/>
    </row>
    <row r="319" spans="2:9" x14ac:dyDescent="0.35">
      <c r="B319" s="12">
        <f t="shared" si="9"/>
        <v>312</v>
      </c>
      <c r="C319" s="17"/>
      <c r="D319" s="17"/>
      <c r="E319" s="17"/>
      <c r="F319" s="17"/>
      <c r="G319" s="91"/>
      <c r="H319" s="92" t="str">
        <f t="shared" si="8"/>
        <v/>
      </c>
      <c r="I319" s="15"/>
    </row>
    <row r="320" spans="2:9" x14ac:dyDescent="0.35">
      <c r="B320" s="12">
        <f t="shared" si="9"/>
        <v>313</v>
      </c>
      <c r="C320" s="17"/>
      <c r="D320" s="17"/>
      <c r="E320" s="17"/>
      <c r="F320" s="17"/>
      <c r="G320" s="91"/>
      <c r="H320" s="92" t="str">
        <f t="shared" si="8"/>
        <v/>
      </c>
      <c r="I320" s="15"/>
    </row>
    <row r="321" spans="2:9" x14ac:dyDescent="0.35">
      <c r="B321" s="12">
        <f t="shared" si="9"/>
        <v>314</v>
      </c>
      <c r="C321" s="17"/>
      <c r="D321" s="17"/>
      <c r="E321" s="17"/>
      <c r="F321" s="17"/>
      <c r="G321" s="91"/>
      <c r="H321" s="92" t="str">
        <f t="shared" si="8"/>
        <v/>
      </c>
      <c r="I321" s="15"/>
    </row>
    <row r="322" spans="2:9" x14ac:dyDescent="0.35">
      <c r="B322" s="12">
        <f t="shared" si="9"/>
        <v>315</v>
      </c>
      <c r="C322" s="17"/>
      <c r="D322" s="17"/>
      <c r="E322" s="17"/>
      <c r="F322" s="17"/>
      <c r="G322" s="91"/>
      <c r="H322" s="92" t="str">
        <f t="shared" si="8"/>
        <v/>
      </c>
      <c r="I322" s="15"/>
    </row>
    <row r="323" spans="2:9" x14ac:dyDescent="0.35">
      <c r="B323" s="12">
        <f t="shared" si="9"/>
        <v>316</v>
      </c>
      <c r="C323" s="17"/>
      <c r="D323" s="17"/>
      <c r="E323" s="17"/>
      <c r="F323" s="17"/>
      <c r="G323" s="91"/>
      <c r="H323" s="92" t="str">
        <f t="shared" si="8"/>
        <v/>
      </c>
      <c r="I323" s="15"/>
    </row>
    <row r="324" spans="2:9" x14ac:dyDescent="0.35">
      <c r="B324" s="12">
        <f t="shared" si="9"/>
        <v>317</v>
      </c>
      <c r="C324" s="17"/>
      <c r="D324" s="17"/>
      <c r="E324" s="17"/>
      <c r="F324" s="17"/>
      <c r="G324" s="91"/>
      <c r="H324" s="92" t="str">
        <f t="shared" si="8"/>
        <v/>
      </c>
      <c r="I324" s="15"/>
    </row>
    <row r="325" spans="2:9" x14ac:dyDescent="0.35">
      <c r="B325" s="12">
        <f t="shared" si="9"/>
        <v>318</v>
      </c>
      <c r="C325" s="17"/>
      <c r="D325" s="17"/>
      <c r="E325" s="17"/>
      <c r="F325" s="17"/>
      <c r="G325" s="91"/>
      <c r="H325" s="92" t="str">
        <f t="shared" si="8"/>
        <v/>
      </c>
      <c r="I325" s="15"/>
    </row>
    <row r="326" spans="2:9" x14ac:dyDescent="0.35">
      <c r="B326" s="12">
        <f t="shared" si="9"/>
        <v>319</v>
      </c>
      <c r="C326" s="17"/>
      <c r="D326" s="17"/>
      <c r="E326" s="17"/>
      <c r="F326" s="17"/>
      <c r="G326" s="91"/>
      <c r="H326" s="92" t="str">
        <f t="shared" si="8"/>
        <v/>
      </c>
      <c r="I326" s="15"/>
    </row>
    <row r="327" spans="2:9" x14ac:dyDescent="0.35">
      <c r="B327" s="12">
        <f t="shared" si="9"/>
        <v>320</v>
      </c>
      <c r="C327" s="17"/>
      <c r="D327" s="17"/>
      <c r="E327" s="17"/>
      <c r="F327" s="17"/>
      <c r="G327" s="91"/>
      <c r="H327" s="92" t="str">
        <f t="shared" si="8"/>
        <v/>
      </c>
      <c r="I327" s="15"/>
    </row>
    <row r="328" spans="2:9" x14ac:dyDescent="0.35">
      <c r="B328" s="12">
        <f t="shared" si="9"/>
        <v>321</v>
      </c>
      <c r="C328" s="17"/>
      <c r="D328" s="17"/>
      <c r="E328" s="17"/>
      <c r="F328" s="17"/>
      <c r="G328" s="91"/>
      <c r="H328" s="92" t="str">
        <f t="shared" ref="H328:H348" si="10">IF(G328*F328&gt;0,G328*F328,"")</f>
        <v/>
      </c>
      <c r="I328" s="15"/>
    </row>
    <row r="329" spans="2:9" x14ac:dyDescent="0.35">
      <c r="B329" s="12">
        <f t="shared" si="9"/>
        <v>322</v>
      </c>
      <c r="C329" s="17"/>
      <c r="D329" s="17"/>
      <c r="E329" s="17"/>
      <c r="F329" s="17"/>
      <c r="G329" s="91"/>
      <c r="H329" s="92" t="str">
        <f t="shared" si="10"/>
        <v/>
      </c>
      <c r="I329" s="15"/>
    </row>
    <row r="330" spans="2:9" x14ac:dyDescent="0.35">
      <c r="B330" s="12">
        <f t="shared" si="9"/>
        <v>323</v>
      </c>
      <c r="C330" s="17"/>
      <c r="D330" s="17"/>
      <c r="E330" s="17"/>
      <c r="F330" s="17"/>
      <c r="G330" s="91"/>
      <c r="H330" s="92" t="str">
        <f t="shared" si="10"/>
        <v/>
      </c>
      <c r="I330" s="15"/>
    </row>
    <row r="331" spans="2:9" x14ac:dyDescent="0.35">
      <c r="B331" s="12">
        <f t="shared" si="9"/>
        <v>324</v>
      </c>
      <c r="C331" s="17"/>
      <c r="D331" s="17"/>
      <c r="E331" s="17"/>
      <c r="F331" s="17"/>
      <c r="G331" s="91"/>
      <c r="H331" s="92" t="str">
        <f t="shared" si="10"/>
        <v/>
      </c>
      <c r="I331" s="15"/>
    </row>
    <row r="332" spans="2:9" x14ac:dyDescent="0.35">
      <c r="B332" s="12">
        <f t="shared" si="9"/>
        <v>325</v>
      </c>
      <c r="C332" s="17"/>
      <c r="D332" s="17"/>
      <c r="E332" s="17"/>
      <c r="F332" s="17"/>
      <c r="G332" s="91"/>
      <c r="H332" s="92" t="str">
        <f t="shared" si="10"/>
        <v/>
      </c>
      <c r="I332" s="15"/>
    </row>
    <row r="333" spans="2:9" x14ac:dyDescent="0.35">
      <c r="B333" s="12">
        <f t="shared" si="9"/>
        <v>326</v>
      </c>
      <c r="C333" s="17"/>
      <c r="D333" s="17"/>
      <c r="E333" s="17"/>
      <c r="F333" s="17"/>
      <c r="G333" s="91"/>
      <c r="H333" s="92" t="str">
        <f t="shared" si="10"/>
        <v/>
      </c>
      <c r="I333" s="15"/>
    </row>
    <row r="334" spans="2:9" x14ac:dyDescent="0.35">
      <c r="B334" s="12">
        <f t="shared" si="9"/>
        <v>327</v>
      </c>
      <c r="C334" s="17"/>
      <c r="D334" s="17"/>
      <c r="E334" s="17"/>
      <c r="F334" s="17"/>
      <c r="G334" s="91"/>
      <c r="H334" s="92" t="str">
        <f t="shared" si="10"/>
        <v/>
      </c>
      <c r="I334" s="15"/>
    </row>
    <row r="335" spans="2:9" x14ac:dyDescent="0.35">
      <c r="B335" s="12">
        <f t="shared" si="9"/>
        <v>328</v>
      </c>
      <c r="C335" s="17"/>
      <c r="D335" s="17"/>
      <c r="E335" s="17"/>
      <c r="F335" s="17"/>
      <c r="G335" s="91"/>
      <c r="H335" s="92" t="str">
        <f t="shared" si="10"/>
        <v/>
      </c>
      <c r="I335" s="15"/>
    </row>
    <row r="336" spans="2:9" x14ac:dyDescent="0.35">
      <c r="B336" s="12">
        <f t="shared" si="9"/>
        <v>329</v>
      </c>
      <c r="C336" s="17"/>
      <c r="D336" s="17"/>
      <c r="E336" s="17"/>
      <c r="F336" s="17"/>
      <c r="G336" s="91"/>
      <c r="H336" s="92" t="str">
        <f t="shared" si="10"/>
        <v/>
      </c>
      <c r="I336" s="15"/>
    </row>
    <row r="337" spans="2:9" x14ac:dyDescent="0.35">
      <c r="B337" s="12">
        <f t="shared" si="9"/>
        <v>330</v>
      </c>
      <c r="C337" s="17"/>
      <c r="D337" s="17"/>
      <c r="E337" s="17"/>
      <c r="F337" s="17"/>
      <c r="G337" s="91"/>
      <c r="H337" s="92" t="str">
        <f t="shared" si="10"/>
        <v/>
      </c>
      <c r="I337" s="15"/>
    </row>
    <row r="338" spans="2:9" x14ac:dyDescent="0.35">
      <c r="B338" s="12">
        <f t="shared" si="9"/>
        <v>331</v>
      </c>
      <c r="C338" s="17"/>
      <c r="D338" s="17"/>
      <c r="E338" s="17"/>
      <c r="F338" s="17"/>
      <c r="G338" s="91"/>
      <c r="H338" s="92" t="str">
        <f t="shared" si="10"/>
        <v/>
      </c>
      <c r="I338" s="15"/>
    </row>
    <row r="339" spans="2:9" x14ac:dyDescent="0.35">
      <c r="B339" s="12">
        <f t="shared" si="9"/>
        <v>332</v>
      </c>
      <c r="C339" s="17"/>
      <c r="D339" s="17"/>
      <c r="E339" s="17"/>
      <c r="F339" s="17"/>
      <c r="G339" s="91"/>
      <c r="H339" s="92" t="str">
        <f t="shared" si="10"/>
        <v/>
      </c>
      <c r="I339" s="15"/>
    </row>
    <row r="340" spans="2:9" x14ac:dyDescent="0.35">
      <c r="B340" s="12">
        <f t="shared" si="9"/>
        <v>333</v>
      </c>
      <c r="C340" s="17"/>
      <c r="D340" s="17"/>
      <c r="E340" s="17"/>
      <c r="F340" s="17"/>
      <c r="G340" s="91"/>
      <c r="H340" s="92" t="str">
        <f t="shared" si="10"/>
        <v/>
      </c>
      <c r="I340" s="15"/>
    </row>
    <row r="341" spans="2:9" x14ac:dyDescent="0.35">
      <c r="B341" s="12">
        <f t="shared" si="9"/>
        <v>334</v>
      </c>
      <c r="C341" s="17"/>
      <c r="D341" s="17"/>
      <c r="E341" s="17"/>
      <c r="F341" s="17"/>
      <c r="G341" s="91"/>
      <c r="H341" s="92" t="str">
        <f t="shared" si="10"/>
        <v/>
      </c>
      <c r="I341" s="15"/>
    </row>
    <row r="342" spans="2:9" x14ac:dyDescent="0.35">
      <c r="B342" s="12">
        <f t="shared" si="9"/>
        <v>335</v>
      </c>
      <c r="C342" s="17"/>
      <c r="D342" s="17"/>
      <c r="E342" s="17"/>
      <c r="F342" s="17"/>
      <c r="G342" s="91"/>
      <c r="H342" s="92" t="str">
        <f t="shared" si="10"/>
        <v/>
      </c>
      <c r="I342" s="15"/>
    </row>
    <row r="343" spans="2:9" x14ac:dyDescent="0.35">
      <c r="B343" s="12">
        <f t="shared" si="9"/>
        <v>336</v>
      </c>
      <c r="C343" s="17"/>
      <c r="D343" s="17"/>
      <c r="E343" s="17"/>
      <c r="F343" s="17"/>
      <c r="G343" s="91"/>
      <c r="H343" s="92" t="str">
        <f t="shared" si="10"/>
        <v/>
      </c>
      <c r="I343" s="15"/>
    </row>
    <row r="344" spans="2:9" x14ac:dyDescent="0.35">
      <c r="B344" s="12">
        <f t="shared" si="9"/>
        <v>337</v>
      </c>
      <c r="C344" s="17"/>
      <c r="D344" s="17"/>
      <c r="E344" s="17"/>
      <c r="F344" s="17"/>
      <c r="G344" s="91"/>
      <c r="H344" s="92" t="str">
        <f t="shared" si="10"/>
        <v/>
      </c>
      <c r="I344" s="15"/>
    </row>
    <row r="345" spans="2:9" x14ac:dyDescent="0.35">
      <c r="B345" s="12">
        <f t="shared" si="9"/>
        <v>338</v>
      </c>
      <c r="C345" s="17"/>
      <c r="D345" s="17"/>
      <c r="E345" s="17"/>
      <c r="F345" s="17"/>
      <c r="G345" s="91"/>
      <c r="H345" s="92" t="str">
        <f t="shared" si="10"/>
        <v/>
      </c>
      <c r="I345" s="15"/>
    </row>
    <row r="346" spans="2:9" x14ac:dyDescent="0.35">
      <c r="B346" s="12">
        <f t="shared" si="9"/>
        <v>339</v>
      </c>
      <c r="C346" s="17"/>
      <c r="D346" s="17"/>
      <c r="E346" s="17"/>
      <c r="F346" s="17"/>
      <c r="G346" s="91"/>
      <c r="H346" s="92" t="str">
        <f t="shared" si="10"/>
        <v/>
      </c>
      <c r="I346" s="15"/>
    </row>
    <row r="347" spans="2:9" x14ac:dyDescent="0.35">
      <c r="B347" s="12">
        <f t="shared" si="9"/>
        <v>340</v>
      </c>
      <c r="C347" s="17"/>
      <c r="D347" s="17"/>
      <c r="E347" s="17"/>
      <c r="F347" s="17"/>
      <c r="G347" s="91"/>
      <c r="H347" s="92" t="str">
        <f t="shared" si="10"/>
        <v/>
      </c>
      <c r="I347" s="15"/>
    </row>
    <row r="348" spans="2:9" x14ac:dyDescent="0.35">
      <c r="B348" s="12">
        <f t="shared" si="9"/>
        <v>341</v>
      </c>
      <c r="C348" s="17"/>
      <c r="D348" s="17"/>
      <c r="E348" s="17"/>
      <c r="F348" s="17"/>
      <c r="G348" s="91"/>
      <c r="H348" s="92" t="str">
        <f t="shared" si="10"/>
        <v/>
      </c>
      <c r="I348" s="15"/>
    </row>
  </sheetData>
  <mergeCells count="5">
    <mergeCell ref="B6:H6"/>
    <mergeCell ref="D3:H3"/>
    <mergeCell ref="B1:H1"/>
    <mergeCell ref="B2:H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32F2F"/>
  </sheetPr>
  <dimension ref="B1:J390"/>
  <sheetViews>
    <sheetView showGridLines="0" zoomScale="85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L48" sqref="L48"/>
    </sheetView>
  </sheetViews>
  <sheetFormatPr defaultColWidth="8.6328125" defaultRowHeight="14.5" x14ac:dyDescent="0.35"/>
  <cols>
    <col min="1" max="1" width="3" customWidth="1"/>
    <col min="2" max="2" width="12" customWidth="1"/>
    <col min="3" max="3" width="30" customWidth="1"/>
    <col min="4" max="4" width="18" customWidth="1"/>
    <col min="5" max="7" width="22.08984375" customWidth="1"/>
    <col min="8" max="8" width="16" customWidth="1"/>
    <col min="9" max="9" width="14.6328125" customWidth="1"/>
    <col min="10" max="10" width="12" customWidth="1"/>
    <col min="11" max="11" width="5" customWidth="1"/>
  </cols>
  <sheetData>
    <row r="1" spans="2:10" ht="30" customHeight="1" x14ac:dyDescent="0.35">
      <c r="B1" s="94" t="s">
        <v>66</v>
      </c>
      <c r="C1" s="94"/>
      <c r="D1" s="94"/>
      <c r="E1" s="94"/>
      <c r="F1" s="94"/>
      <c r="G1" s="94"/>
      <c r="H1" s="94"/>
      <c r="I1" s="94"/>
      <c r="J1" s="94"/>
    </row>
    <row r="2" spans="2:10" ht="18" customHeight="1" x14ac:dyDescent="0.35">
      <c r="B2" s="95" t="s">
        <v>67</v>
      </c>
      <c r="C2" s="95"/>
      <c r="D2" s="95"/>
      <c r="E2" s="95"/>
      <c r="F2" s="95"/>
      <c r="G2" s="95"/>
      <c r="H2" s="95"/>
      <c r="I2" s="95"/>
      <c r="J2" s="95"/>
    </row>
    <row r="3" spans="2:10" ht="24" customHeight="1" x14ac:dyDescent="0.35">
      <c r="B3" s="96" t="s">
        <v>68</v>
      </c>
      <c r="C3" s="96"/>
      <c r="D3" s="96"/>
      <c r="E3" s="161">
        <f>SUM(I8:I198)</f>
        <v>2377000</v>
      </c>
      <c r="F3" s="163"/>
      <c r="G3" s="163"/>
      <c r="H3" s="162"/>
      <c r="I3" s="162"/>
      <c r="J3" s="162"/>
    </row>
    <row r="4" spans="2:10" ht="7.5" customHeight="1" x14ac:dyDescent="0.35"/>
    <row r="5" spans="2:10" ht="18" customHeight="1" x14ac:dyDescent="0.35">
      <c r="B5" s="97" t="s">
        <v>69</v>
      </c>
      <c r="C5" s="97"/>
      <c r="D5" s="97"/>
      <c r="E5" s="97"/>
      <c r="F5" s="97"/>
      <c r="G5" s="97"/>
      <c r="H5" s="97"/>
      <c r="I5" s="97"/>
      <c r="J5" s="97"/>
    </row>
    <row r="6" spans="2:10" ht="7.5" customHeight="1" x14ac:dyDescent="0.35"/>
    <row r="7" spans="2:10" ht="36" customHeight="1" x14ac:dyDescent="0.35">
      <c r="B7" s="18" t="s">
        <v>36</v>
      </c>
      <c r="C7" s="18" t="s">
        <v>37</v>
      </c>
      <c r="D7" s="18" t="s">
        <v>70</v>
      </c>
      <c r="E7" s="18" t="s">
        <v>71</v>
      </c>
      <c r="F7" s="18" t="s">
        <v>396</v>
      </c>
      <c r="G7" s="18" t="s">
        <v>72</v>
      </c>
      <c r="H7" s="18" t="s">
        <v>400</v>
      </c>
      <c r="I7" s="18" t="s">
        <v>401</v>
      </c>
      <c r="J7" s="18" t="s">
        <v>43</v>
      </c>
    </row>
    <row r="8" spans="2:10" ht="19.5" customHeight="1" x14ac:dyDescent="0.35">
      <c r="B8" s="12">
        <v>1</v>
      </c>
      <c r="C8" s="166">
        <v>45662</v>
      </c>
      <c r="D8" s="20" t="s">
        <v>74</v>
      </c>
      <c r="E8" s="159" t="s">
        <v>75</v>
      </c>
      <c r="F8" s="164" t="s">
        <v>397</v>
      </c>
      <c r="G8" s="19">
        <v>5</v>
      </c>
      <c r="H8" s="160">
        <v>65000</v>
      </c>
      <c r="I8" s="160">
        <f>G8*H8</f>
        <v>325000</v>
      </c>
      <c r="J8" s="21"/>
    </row>
    <row r="9" spans="2:10" ht="19.5" customHeight="1" x14ac:dyDescent="0.35">
      <c r="B9" s="12">
        <v>2</v>
      </c>
      <c r="C9" s="166">
        <v>45663</v>
      </c>
      <c r="D9" s="20" t="s">
        <v>76</v>
      </c>
      <c r="E9" s="159" t="s">
        <v>75</v>
      </c>
      <c r="F9" s="164" t="s">
        <v>397</v>
      </c>
      <c r="G9" s="19">
        <v>3</v>
      </c>
      <c r="H9" s="160">
        <v>45000</v>
      </c>
      <c r="I9" s="160">
        <f t="shared" ref="I9:I72" si="0">G9*H9</f>
        <v>135000</v>
      </c>
      <c r="J9" s="21"/>
    </row>
    <row r="10" spans="2:10" ht="19.5" customHeight="1" x14ac:dyDescent="0.35">
      <c r="B10" s="12">
        <v>3</v>
      </c>
      <c r="C10" s="166">
        <v>45664</v>
      </c>
      <c r="D10" s="20" t="s">
        <v>77</v>
      </c>
      <c r="E10" s="159" t="s">
        <v>75</v>
      </c>
      <c r="F10" s="164" t="s">
        <v>397</v>
      </c>
      <c r="G10" s="19">
        <v>2</v>
      </c>
      <c r="H10" s="160">
        <v>56000</v>
      </c>
      <c r="I10" s="160">
        <f t="shared" si="0"/>
        <v>112000</v>
      </c>
      <c r="J10" s="21"/>
    </row>
    <row r="11" spans="2:10" ht="19.5" customHeight="1" x14ac:dyDescent="0.35">
      <c r="B11" s="12">
        <v>4</v>
      </c>
      <c r="C11" s="166">
        <v>45665</v>
      </c>
      <c r="D11" s="20" t="s">
        <v>78</v>
      </c>
      <c r="E11" s="159" t="s">
        <v>79</v>
      </c>
      <c r="F11" s="164" t="s">
        <v>397</v>
      </c>
      <c r="G11" s="19">
        <v>3</v>
      </c>
      <c r="H11" s="160">
        <v>120000</v>
      </c>
      <c r="I11" s="160">
        <f t="shared" si="0"/>
        <v>360000</v>
      </c>
      <c r="J11" s="21"/>
    </row>
    <row r="12" spans="2:10" ht="19.5" customHeight="1" x14ac:dyDescent="0.35">
      <c r="B12" s="12">
        <v>5</v>
      </c>
      <c r="C12" s="166">
        <v>45666</v>
      </c>
      <c r="D12" s="20" t="s">
        <v>80</v>
      </c>
      <c r="E12" s="159" t="s">
        <v>79</v>
      </c>
      <c r="F12" s="164" t="s">
        <v>397</v>
      </c>
      <c r="G12" s="19">
        <v>2</v>
      </c>
      <c r="H12" s="160">
        <v>38000</v>
      </c>
      <c r="I12" s="160">
        <f t="shared" si="0"/>
        <v>76000</v>
      </c>
      <c r="J12" s="21"/>
    </row>
    <row r="13" spans="2:10" ht="19.5" customHeight="1" x14ac:dyDescent="0.35">
      <c r="B13" s="12">
        <v>6</v>
      </c>
      <c r="C13" s="166">
        <v>45667</v>
      </c>
      <c r="D13" s="20" t="s">
        <v>81</v>
      </c>
      <c r="E13" s="159" t="s">
        <v>79</v>
      </c>
      <c r="F13" s="164" t="s">
        <v>398</v>
      </c>
      <c r="G13" s="19">
        <v>1</v>
      </c>
      <c r="H13" s="160">
        <v>15000</v>
      </c>
      <c r="I13" s="160">
        <f t="shared" si="0"/>
        <v>15000</v>
      </c>
      <c r="J13" s="21"/>
    </row>
    <row r="14" spans="2:10" ht="19.5" customHeight="1" x14ac:dyDescent="0.35">
      <c r="B14" s="12">
        <v>7</v>
      </c>
      <c r="C14" s="166">
        <v>45668</v>
      </c>
      <c r="D14" s="20" t="s">
        <v>82</v>
      </c>
      <c r="E14" s="159" t="s">
        <v>83</v>
      </c>
      <c r="F14" s="164" t="s">
        <v>399</v>
      </c>
      <c r="G14" s="19">
        <v>3</v>
      </c>
      <c r="H14" s="160">
        <v>18000</v>
      </c>
      <c r="I14" s="160">
        <f t="shared" si="0"/>
        <v>54000</v>
      </c>
      <c r="J14" s="21"/>
    </row>
    <row r="15" spans="2:10" ht="19.5" customHeight="1" x14ac:dyDescent="0.35">
      <c r="B15" s="12">
        <v>10</v>
      </c>
      <c r="C15" s="166">
        <v>45669</v>
      </c>
      <c r="D15" s="20" t="s">
        <v>85</v>
      </c>
      <c r="E15" s="159" t="s">
        <v>75</v>
      </c>
      <c r="F15" s="164" t="s">
        <v>397</v>
      </c>
      <c r="G15" s="19">
        <v>10</v>
      </c>
      <c r="H15" s="160">
        <v>130000</v>
      </c>
      <c r="I15" s="160">
        <f t="shared" si="0"/>
        <v>1300000</v>
      </c>
      <c r="J15" s="21"/>
    </row>
    <row r="16" spans="2:10" ht="19.5" customHeight="1" x14ac:dyDescent="0.35">
      <c r="B16" s="12">
        <v>11</v>
      </c>
      <c r="C16" s="17"/>
      <c r="D16" s="17"/>
      <c r="E16" s="17"/>
      <c r="F16" s="165"/>
      <c r="G16" s="165"/>
      <c r="H16" s="17"/>
      <c r="I16" s="160">
        <f t="shared" si="0"/>
        <v>0</v>
      </c>
      <c r="J16" s="21"/>
    </row>
    <row r="17" spans="2:10" ht="19.5" customHeight="1" x14ac:dyDescent="0.35">
      <c r="B17" s="12">
        <v>12</v>
      </c>
      <c r="C17" s="17"/>
      <c r="D17" s="17"/>
      <c r="E17" s="17"/>
      <c r="F17" s="165"/>
      <c r="G17" s="165"/>
      <c r="H17" s="17"/>
      <c r="I17" s="160">
        <f t="shared" si="0"/>
        <v>0</v>
      </c>
      <c r="J17" s="21"/>
    </row>
    <row r="18" spans="2:10" ht="19.5" customHeight="1" x14ac:dyDescent="0.35">
      <c r="B18" s="12">
        <v>13</v>
      </c>
      <c r="C18" s="17"/>
      <c r="D18" s="17"/>
      <c r="E18" s="17"/>
      <c r="F18" s="165"/>
      <c r="G18" s="165"/>
      <c r="H18" s="17"/>
      <c r="I18" s="160">
        <f t="shared" si="0"/>
        <v>0</v>
      </c>
      <c r="J18" s="21"/>
    </row>
    <row r="19" spans="2:10" ht="19.5" customHeight="1" x14ac:dyDescent="0.35">
      <c r="B19" s="12">
        <v>14</v>
      </c>
      <c r="C19" s="17"/>
      <c r="D19" s="17"/>
      <c r="E19" s="17"/>
      <c r="F19" s="165"/>
      <c r="G19" s="165"/>
      <c r="H19" s="17"/>
      <c r="I19" s="160">
        <f t="shared" si="0"/>
        <v>0</v>
      </c>
      <c r="J19" s="21"/>
    </row>
    <row r="20" spans="2:10" ht="19.5" customHeight="1" x14ac:dyDescent="0.35">
      <c r="B20" s="12">
        <v>15</v>
      </c>
      <c r="C20" s="17"/>
      <c r="D20" s="17"/>
      <c r="E20" s="17"/>
      <c r="F20" s="165"/>
      <c r="G20" s="165"/>
      <c r="H20" s="17"/>
      <c r="I20" s="160">
        <f t="shared" si="0"/>
        <v>0</v>
      </c>
      <c r="J20" s="21"/>
    </row>
    <row r="21" spans="2:10" ht="19.5" customHeight="1" x14ac:dyDescent="0.35">
      <c r="B21" s="12">
        <v>16</v>
      </c>
      <c r="C21" s="17"/>
      <c r="D21" s="17"/>
      <c r="E21" s="17"/>
      <c r="F21" s="165"/>
      <c r="G21" s="165"/>
      <c r="H21" s="17"/>
      <c r="I21" s="160">
        <f t="shared" si="0"/>
        <v>0</v>
      </c>
      <c r="J21" s="21"/>
    </row>
    <row r="22" spans="2:10" ht="19.5" customHeight="1" x14ac:dyDescent="0.35">
      <c r="B22" s="12">
        <v>17</v>
      </c>
      <c r="C22" s="17"/>
      <c r="D22" s="17"/>
      <c r="E22" s="17"/>
      <c r="F22" s="165"/>
      <c r="G22" s="165"/>
      <c r="H22" s="17"/>
      <c r="I22" s="160">
        <f t="shared" si="0"/>
        <v>0</v>
      </c>
      <c r="J22" s="21"/>
    </row>
    <row r="23" spans="2:10" ht="19.5" customHeight="1" x14ac:dyDescent="0.35">
      <c r="B23" s="12">
        <v>18</v>
      </c>
      <c r="C23" s="17"/>
      <c r="D23" s="17"/>
      <c r="E23" s="17"/>
      <c r="F23" s="165"/>
      <c r="G23" s="165"/>
      <c r="H23" s="17"/>
      <c r="I23" s="160">
        <f t="shared" si="0"/>
        <v>0</v>
      </c>
      <c r="J23" s="21"/>
    </row>
    <row r="24" spans="2:10" ht="19.5" customHeight="1" x14ac:dyDescent="0.35">
      <c r="B24" s="12">
        <v>19</v>
      </c>
      <c r="C24" s="17"/>
      <c r="D24" s="17"/>
      <c r="E24" s="17"/>
      <c r="F24" s="165"/>
      <c r="G24" s="165"/>
      <c r="H24" s="17"/>
      <c r="I24" s="160">
        <f t="shared" si="0"/>
        <v>0</v>
      </c>
      <c r="J24" s="21"/>
    </row>
    <row r="25" spans="2:10" ht="19.5" customHeight="1" x14ac:dyDescent="0.35">
      <c r="B25" s="12">
        <v>20</v>
      </c>
      <c r="C25" s="17"/>
      <c r="D25" s="17"/>
      <c r="E25" s="17"/>
      <c r="F25" s="165"/>
      <c r="G25" s="165"/>
      <c r="H25" s="17"/>
      <c r="I25" s="160">
        <f t="shared" si="0"/>
        <v>0</v>
      </c>
      <c r="J25" s="21"/>
    </row>
    <row r="26" spans="2:10" ht="19.5" customHeight="1" x14ac:dyDescent="0.35">
      <c r="B26" s="12">
        <v>21</v>
      </c>
      <c r="C26" s="17"/>
      <c r="D26" s="17"/>
      <c r="E26" s="17"/>
      <c r="F26" s="165"/>
      <c r="G26" s="165"/>
      <c r="H26" s="17"/>
      <c r="I26" s="160">
        <f t="shared" si="0"/>
        <v>0</v>
      </c>
      <c r="J26" s="21"/>
    </row>
    <row r="27" spans="2:10" ht="19.5" customHeight="1" x14ac:dyDescent="0.35">
      <c r="B27" s="12">
        <v>22</v>
      </c>
      <c r="C27" s="17"/>
      <c r="D27" s="17"/>
      <c r="E27" s="17"/>
      <c r="F27" s="165"/>
      <c r="G27" s="165"/>
      <c r="H27" s="17"/>
      <c r="I27" s="160">
        <f t="shared" si="0"/>
        <v>0</v>
      </c>
      <c r="J27" s="21"/>
    </row>
    <row r="28" spans="2:10" ht="19.5" customHeight="1" x14ac:dyDescent="0.35">
      <c r="B28" s="12">
        <v>23</v>
      </c>
      <c r="C28" s="17"/>
      <c r="D28" s="17"/>
      <c r="E28" s="17"/>
      <c r="F28" s="165"/>
      <c r="G28" s="165"/>
      <c r="H28" s="17"/>
      <c r="I28" s="160">
        <f t="shared" si="0"/>
        <v>0</v>
      </c>
      <c r="J28" s="21"/>
    </row>
    <row r="29" spans="2:10" ht="19.5" customHeight="1" x14ac:dyDescent="0.35">
      <c r="B29" s="12">
        <v>24</v>
      </c>
      <c r="C29" s="17"/>
      <c r="D29" s="17"/>
      <c r="E29" s="17"/>
      <c r="F29" s="165"/>
      <c r="G29" s="165"/>
      <c r="H29" s="17"/>
      <c r="I29" s="160">
        <f t="shared" si="0"/>
        <v>0</v>
      </c>
      <c r="J29" s="21"/>
    </row>
    <row r="30" spans="2:10" ht="19.5" customHeight="1" x14ac:dyDescent="0.35">
      <c r="B30" s="12">
        <v>25</v>
      </c>
      <c r="C30" s="17"/>
      <c r="D30" s="17"/>
      <c r="E30" s="17"/>
      <c r="F30" s="165"/>
      <c r="G30" s="165"/>
      <c r="H30" s="17"/>
      <c r="I30" s="160">
        <f t="shared" si="0"/>
        <v>0</v>
      </c>
      <c r="J30" s="21"/>
    </row>
    <row r="31" spans="2:10" ht="19.5" customHeight="1" x14ac:dyDescent="0.35">
      <c r="B31" s="12">
        <v>26</v>
      </c>
      <c r="C31" s="17"/>
      <c r="D31" s="17"/>
      <c r="E31" s="17"/>
      <c r="F31" s="165"/>
      <c r="G31" s="165"/>
      <c r="H31" s="17"/>
      <c r="I31" s="160">
        <f t="shared" si="0"/>
        <v>0</v>
      </c>
      <c r="J31" s="21"/>
    </row>
    <row r="32" spans="2:10" ht="19.5" customHeight="1" x14ac:dyDescent="0.35">
      <c r="B32" s="12">
        <v>27</v>
      </c>
      <c r="C32" s="17"/>
      <c r="D32" s="17"/>
      <c r="E32" s="17"/>
      <c r="F32" s="165"/>
      <c r="G32" s="165"/>
      <c r="H32" s="17"/>
      <c r="I32" s="160">
        <f t="shared" si="0"/>
        <v>0</v>
      </c>
      <c r="J32" s="21"/>
    </row>
    <row r="33" spans="2:10" ht="19.5" customHeight="1" x14ac:dyDescent="0.35">
      <c r="B33" s="12">
        <v>28</v>
      </c>
      <c r="C33" s="17"/>
      <c r="D33" s="17"/>
      <c r="E33" s="17"/>
      <c r="F33" s="165"/>
      <c r="G33" s="165"/>
      <c r="H33" s="17"/>
      <c r="I33" s="160">
        <f t="shared" si="0"/>
        <v>0</v>
      </c>
      <c r="J33" s="21"/>
    </row>
    <row r="34" spans="2:10" ht="19.5" customHeight="1" x14ac:dyDescent="0.35">
      <c r="B34" s="12">
        <v>29</v>
      </c>
      <c r="C34" s="17"/>
      <c r="D34" s="17"/>
      <c r="E34" s="17"/>
      <c r="F34" s="165"/>
      <c r="G34" s="165"/>
      <c r="H34" s="17"/>
      <c r="I34" s="160">
        <f t="shared" si="0"/>
        <v>0</v>
      </c>
      <c r="J34" s="21"/>
    </row>
    <row r="35" spans="2:10" ht="19.5" customHeight="1" x14ac:dyDescent="0.35">
      <c r="B35" s="12">
        <v>30</v>
      </c>
      <c r="C35" s="17"/>
      <c r="D35" s="17"/>
      <c r="E35" s="17"/>
      <c r="F35" s="165"/>
      <c r="G35" s="165"/>
      <c r="H35" s="17"/>
      <c r="I35" s="160">
        <f t="shared" si="0"/>
        <v>0</v>
      </c>
      <c r="J35" s="21"/>
    </row>
    <row r="36" spans="2:10" ht="19.5" customHeight="1" x14ac:dyDescent="0.35">
      <c r="B36" s="12">
        <v>31</v>
      </c>
      <c r="C36" s="17"/>
      <c r="D36" s="17"/>
      <c r="E36" s="17"/>
      <c r="F36" s="165"/>
      <c r="G36" s="165"/>
      <c r="H36" s="17"/>
      <c r="I36" s="160">
        <f t="shared" si="0"/>
        <v>0</v>
      </c>
      <c r="J36" s="21"/>
    </row>
    <row r="37" spans="2:10" ht="19.5" customHeight="1" x14ac:dyDescent="0.35">
      <c r="B37" s="12">
        <v>32</v>
      </c>
      <c r="C37" s="17"/>
      <c r="D37" s="17"/>
      <c r="E37" s="17"/>
      <c r="F37" s="165"/>
      <c r="G37" s="165"/>
      <c r="H37" s="17"/>
      <c r="I37" s="160">
        <f t="shared" si="0"/>
        <v>0</v>
      </c>
      <c r="J37" s="21"/>
    </row>
    <row r="38" spans="2:10" ht="19.5" customHeight="1" x14ac:dyDescent="0.35">
      <c r="B38" s="12">
        <v>33</v>
      </c>
      <c r="C38" s="17"/>
      <c r="D38" s="17"/>
      <c r="E38" s="17"/>
      <c r="F38" s="165"/>
      <c r="G38" s="165"/>
      <c r="H38" s="17"/>
      <c r="I38" s="160">
        <f t="shared" si="0"/>
        <v>0</v>
      </c>
      <c r="J38" s="21"/>
    </row>
    <row r="39" spans="2:10" ht="19.5" customHeight="1" x14ac:dyDescent="0.35">
      <c r="B39" s="12">
        <v>34</v>
      </c>
      <c r="C39" s="17"/>
      <c r="D39" s="17"/>
      <c r="E39" s="17"/>
      <c r="F39" s="165"/>
      <c r="G39" s="165"/>
      <c r="H39" s="17"/>
      <c r="I39" s="160">
        <f t="shared" si="0"/>
        <v>0</v>
      </c>
      <c r="J39" s="21"/>
    </row>
    <row r="40" spans="2:10" ht="19.5" customHeight="1" x14ac:dyDescent="0.35">
      <c r="B40" s="12">
        <v>35</v>
      </c>
      <c r="C40" s="17"/>
      <c r="D40" s="17"/>
      <c r="E40" s="17"/>
      <c r="F40" s="165"/>
      <c r="G40" s="165"/>
      <c r="H40" s="17"/>
      <c r="I40" s="160">
        <f t="shared" si="0"/>
        <v>0</v>
      </c>
      <c r="J40" s="21"/>
    </row>
    <row r="41" spans="2:10" ht="19.5" customHeight="1" x14ac:dyDescent="0.35">
      <c r="B41" s="12">
        <v>36</v>
      </c>
      <c r="C41" s="17"/>
      <c r="D41" s="17"/>
      <c r="E41" s="17"/>
      <c r="F41" s="165"/>
      <c r="G41" s="165"/>
      <c r="H41" s="17"/>
      <c r="I41" s="160">
        <f t="shared" si="0"/>
        <v>0</v>
      </c>
      <c r="J41" s="21"/>
    </row>
    <row r="42" spans="2:10" ht="19.5" customHeight="1" x14ac:dyDescent="0.35">
      <c r="B42" s="12">
        <v>37</v>
      </c>
      <c r="C42" s="17"/>
      <c r="D42" s="17"/>
      <c r="E42" s="17"/>
      <c r="F42" s="165"/>
      <c r="G42" s="165"/>
      <c r="H42" s="17"/>
      <c r="I42" s="160">
        <f t="shared" si="0"/>
        <v>0</v>
      </c>
      <c r="J42" s="21"/>
    </row>
    <row r="43" spans="2:10" ht="19.5" customHeight="1" x14ac:dyDescent="0.35">
      <c r="B43" s="12">
        <v>38</v>
      </c>
      <c r="C43" s="17"/>
      <c r="D43" s="17"/>
      <c r="E43" s="17"/>
      <c r="F43" s="165"/>
      <c r="G43" s="165"/>
      <c r="H43" s="17"/>
      <c r="I43" s="160">
        <f t="shared" si="0"/>
        <v>0</v>
      </c>
      <c r="J43" s="21"/>
    </row>
    <row r="44" spans="2:10" ht="19.5" customHeight="1" x14ac:dyDescent="0.35">
      <c r="B44" s="12">
        <v>39</v>
      </c>
      <c r="C44" s="17"/>
      <c r="D44" s="17"/>
      <c r="E44" s="17"/>
      <c r="F44" s="165"/>
      <c r="G44" s="165"/>
      <c r="H44" s="17"/>
      <c r="I44" s="160">
        <f t="shared" si="0"/>
        <v>0</v>
      </c>
      <c r="J44" s="21"/>
    </row>
    <row r="45" spans="2:10" ht="19.5" customHeight="1" x14ac:dyDescent="0.35">
      <c r="B45" s="12">
        <v>40</v>
      </c>
      <c r="C45" s="17"/>
      <c r="D45" s="17"/>
      <c r="E45" s="17"/>
      <c r="F45" s="165"/>
      <c r="G45" s="165"/>
      <c r="H45" s="17"/>
      <c r="I45" s="160">
        <f t="shared" si="0"/>
        <v>0</v>
      </c>
      <c r="J45" s="21"/>
    </row>
    <row r="46" spans="2:10" ht="19.5" customHeight="1" x14ac:dyDescent="0.35">
      <c r="B46" s="12">
        <v>41</v>
      </c>
      <c r="C46" s="17"/>
      <c r="D46" s="17"/>
      <c r="E46" s="17"/>
      <c r="F46" s="165"/>
      <c r="G46" s="165"/>
      <c r="H46" s="17"/>
      <c r="I46" s="160">
        <f t="shared" si="0"/>
        <v>0</v>
      </c>
      <c r="J46" s="21"/>
    </row>
    <row r="47" spans="2:10" ht="19.5" customHeight="1" x14ac:dyDescent="0.35">
      <c r="B47" s="12">
        <v>42</v>
      </c>
      <c r="C47" s="17"/>
      <c r="D47" s="17"/>
      <c r="E47" s="17"/>
      <c r="F47" s="165"/>
      <c r="G47" s="165"/>
      <c r="H47" s="17"/>
      <c r="I47" s="160">
        <f t="shared" si="0"/>
        <v>0</v>
      </c>
      <c r="J47" s="21"/>
    </row>
    <row r="48" spans="2:10" ht="19.5" customHeight="1" x14ac:dyDescent="0.35">
      <c r="B48" s="12">
        <v>43</v>
      </c>
      <c r="C48" s="17"/>
      <c r="D48" s="17"/>
      <c r="E48" s="17"/>
      <c r="F48" s="165"/>
      <c r="G48" s="165"/>
      <c r="H48" s="17"/>
      <c r="I48" s="160">
        <f t="shared" si="0"/>
        <v>0</v>
      </c>
      <c r="J48" s="21"/>
    </row>
    <row r="49" spans="2:10" x14ac:dyDescent="0.35">
      <c r="B49" s="12">
        <v>44</v>
      </c>
      <c r="C49" s="17"/>
      <c r="D49" s="17"/>
      <c r="E49" s="17"/>
      <c r="F49" s="165"/>
      <c r="G49" s="165"/>
      <c r="H49" s="17"/>
      <c r="I49" s="160">
        <f t="shared" si="0"/>
        <v>0</v>
      </c>
      <c r="J49" s="21"/>
    </row>
    <row r="50" spans="2:10" x14ac:dyDescent="0.35">
      <c r="B50" s="12">
        <v>45</v>
      </c>
      <c r="C50" s="17"/>
      <c r="D50" s="17"/>
      <c r="E50" s="17"/>
      <c r="F50" s="165"/>
      <c r="G50" s="165"/>
      <c r="H50" s="17"/>
      <c r="I50" s="160">
        <f t="shared" si="0"/>
        <v>0</v>
      </c>
      <c r="J50" s="21"/>
    </row>
    <row r="51" spans="2:10" x14ac:dyDescent="0.35">
      <c r="B51" s="12">
        <v>46</v>
      </c>
      <c r="C51" s="17"/>
      <c r="D51" s="17"/>
      <c r="E51" s="17"/>
      <c r="F51" s="165"/>
      <c r="G51" s="165"/>
      <c r="H51" s="17"/>
      <c r="I51" s="160">
        <f t="shared" si="0"/>
        <v>0</v>
      </c>
      <c r="J51" s="21"/>
    </row>
    <row r="52" spans="2:10" x14ac:dyDescent="0.35">
      <c r="B52" s="12">
        <v>47</v>
      </c>
      <c r="C52" s="17"/>
      <c r="D52" s="17"/>
      <c r="E52" s="17"/>
      <c r="F52" s="165"/>
      <c r="G52" s="165"/>
      <c r="H52" s="17"/>
      <c r="I52" s="160">
        <f t="shared" si="0"/>
        <v>0</v>
      </c>
      <c r="J52" s="21"/>
    </row>
    <row r="53" spans="2:10" x14ac:dyDescent="0.35">
      <c r="B53" s="12">
        <v>48</v>
      </c>
      <c r="C53" s="17"/>
      <c r="D53" s="17"/>
      <c r="E53" s="17"/>
      <c r="F53" s="165"/>
      <c r="G53" s="165"/>
      <c r="H53" s="17"/>
      <c r="I53" s="160">
        <f t="shared" si="0"/>
        <v>0</v>
      </c>
      <c r="J53" s="21"/>
    </row>
    <row r="54" spans="2:10" x14ac:dyDescent="0.35">
      <c r="B54" s="12">
        <v>49</v>
      </c>
      <c r="C54" s="17"/>
      <c r="D54" s="17"/>
      <c r="E54" s="17"/>
      <c r="F54" s="165"/>
      <c r="G54" s="165"/>
      <c r="H54" s="17"/>
      <c r="I54" s="160">
        <f t="shared" si="0"/>
        <v>0</v>
      </c>
      <c r="J54" s="21"/>
    </row>
    <row r="55" spans="2:10" x14ac:dyDescent="0.35">
      <c r="B55" s="12">
        <v>50</v>
      </c>
      <c r="C55" s="17"/>
      <c r="D55" s="17"/>
      <c r="E55" s="17"/>
      <c r="F55" s="165"/>
      <c r="G55" s="165"/>
      <c r="H55" s="17"/>
      <c r="I55" s="160">
        <f t="shared" si="0"/>
        <v>0</v>
      </c>
      <c r="J55" s="21"/>
    </row>
    <row r="56" spans="2:10" x14ac:dyDescent="0.35">
      <c r="B56" s="12">
        <v>51</v>
      </c>
      <c r="C56" s="17"/>
      <c r="D56" s="17"/>
      <c r="E56" s="17"/>
      <c r="F56" s="165"/>
      <c r="G56" s="165"/>
      <c r="H56" s="17"/>
      <c r="I56" s="160">
        <f t="shared" si="0"/>
        <v>0</v>
      </c>
      <c r="J56" s="21"/>
    </row>
    <row r="57" spans="2:10" x14ac:dyDescent="0.35">
      <c r="B57" s="12">
        <v>52</v>
      </c>
      <c r="C57" s="17"/>
      <c r="D57" s="17"/>
      <c r="E57" s="17"/>
      <c r="F57" s="165"/>
      <c r="G57" s="165"/>
      <c r="H57" s="17"/>
      <c r="I57" s="160">
        <f t="shared" si="0"/>
        <v>0</v>
      </c>
      <c r="J57" s="21"/>
    </row>
    <row r="58" spans="2:10" x14ac:dyDescent="0.35">
      <c r="B58" s="12">
        <v>53</v>
      </c>
      <c r="C58" s="17"/>
      <c r="D58" s="17"/>
      <c r="E58" s="17"/>
      <c r="F58" s="165"/>
      <c r="G58" s="165"/>
      <c r="H58" s="17"/>
      <c r="I58" s="160">
        <f t="shared" si="0"/>
        <v>0</v>
      </c>
      <c r="J58" s="21"/>
    </row>
    <row r="59" spans="2:10" x14ac:dyDescent="0.35">
      <c r="B59" s="12">
        <v>54</v>
      </c>
      <c r="C59" s="17"/>
      <c r="D59" s="17"/>
      <c r="E59" s="17"/>
      <c r="F59" s="165"/>
      <c r="G59" s="165"/>
      <c r="H59" s="17"/>
      <c r="I59" s="160">
        <f t="shared" si="0"/>
        <v>0</v>
      </c>
      <c r="J59" s="21"/>
    </row>
    <row r="60" spans="2:10" x14ac:dyDescent="0.35">
      <c r="B60" s="12">
        <v>55</v>
      </c>
      <c r="C60" s="17"/>
      <c r="D60" s="17"/>
      <c r="E60" s="17"/>
      <c r="F60" s="165"/>
      <c r="G60" s="165"/>
      <c r="H60" s="17"/>
      <c r="I60" s="160">
        <f t="shared" si="0"/>
        <v>0</v>
      </c>
      <c r="J60" s="21"/>
    </row>
    <row r="61" spans="2:10" x14ac:dyDescent="0.35">
      <c r="B61" s="12">
        <v>56</v>
      </c>
      <c r="C61" s="17"/>
      <c r="D61" s="17"/>
      <c r="E61" s="17"/>
      <c r="F61" s="165"/>
      <c r="G61" s="165"/>
      <c r="H61" s="17"/>
      <c r="I61" s="160">
        <f t="shared" si="0"/>
        <v>0</v>
      </c>
      <c r="J61" s="21"/>
    </row>
    <row r="62" spans="2:10" x14ac:dyDescent="0.35">
      <c r="B62" s="12">
        <v>57</v>
      </c>
      <c r="C62" s="17"/>
      <c r="D62" s="17"/>
      <c r="E62" s="17"/>
      <c r="F62" s="165"/>
      <c r="G62" s="165"/>
      <c r="H62" s="17"/>
      <c r="I62" s="160">
        <f t="shared" si="0"/>
        <v>0</v>
      </c>
      <c r="J62" s="21"/>
    </row>
    <row r="63" spans="2:10" x14ac:dyDescent="0.35">
      <c r="B63" s="12">
        <v>58</v>
      </c>
      <c r="C63" s="17"/>
      <c r="D63" s="17"/>
      <c r="E63" s="17"/>
      <c r="F63" s="165"/>
      <c r="G63" s="165"/>
      <c r="H63" s="17"/>
      <c r="I63" s="160">
        <f t="shared" si="0"/>
        <v>0</v>
      </c>
      <c r="J63" s="21"/>
    </row>
    <row r="64" spans="2:10" x14ac:dyDescent="0.35">
      <c r="B64" s="12">
        <v>59</v>
      </c>
      <c r="C64" s="17"/>
      <c r="D64" s="17"/>
      <c r="E64" s="17"/>
      <c r="F64" s="165"/>
      <c r="G64" s="165"/>
      <c r="H64" s="17"/>
      <c r="I64" s="160">
        <f t="shared" si="0"/>
        <v>0</v>
      </c>
      <c r="J64" s="21"/>
    </row>
    <row r="65" spans="2:10" x14ac:dyDescent="0.35">
      <c r="B65" s="12">
        <v>60</v>
      </c>
      <c r="C65" s="17"/>
      <c r="D65" s="17"/>
      <c r="E65" s="17"/>
      <c r="F65" s="165"/>
      <c r="G65" s="165"/>
      <c r="H65" s="17"/>
      <c r="I65" s="160">
        <f t="shared" si="0"/>
        <v>0</v>
      </c>
      <c r="J65" s="21"/>
    </row>
    <row r="66" spans="2:10" x14ac:dyDescent="0.35">
      <c r="B66" s="12">
        <v>61</v>
      </c>
      <c r="C66" s="17"/>
      <c r="D66" s="17"/>
      <c r="E66" s="17"/>
      <c r="F66" s="165"/>
      <c r="G66" s="165"/>
      <c r="H66" s="17"/>
      <c r="I66" s="160">
        <f t="shared" si="0"/>
        <v>0</v>
      </c>
      <c r="J66" s="21"/>
    </row>
    <row r="67" spans="2:10" x14ac:dyDescent="0.35">
      <c r="B67" s="12">
        <v>62</v>
      </c>
      <c r="C67" s="17"/>
      <c r="D67" s="17"/>
      <c r="E67" s="17"/>
      <c r="F67" s="165"/>
      <c r="G67" s="165"/>
      <c r="H67" s="17"/>
      <c r="I67" s="160">
        <f t="shared" si="0"/>
        <v>0</v>
      </c>
      <c r="J67" s="21"/>
    </row>
    <row r="68" spans="2:10" x14ac:dyDescent="0.35">
      <c r="B68" s="12">
        <v>63</v>
      </c>
      <c r="C68" s="17"/>
      <c r="D68" s="17"/>
      <c r="E68" s="17"/>
      <c r="F68" s="165"/>
      <c r="G68" s="165"/>
      <c r="H68" s="17"/>
      <c r="I68" s="160">
        <f t="shared" si="0"/>
        <v>0</v>
      </c>
      <c r="J68" s="21"/>
    </row>
    <row r="69" spans="2:10" x14ac:dyDescent="0.35">
      <c r="B69" s="12">
        <v>64</v>
      </c>
      <c r="C69" s="17"/>
      <c r="D69" s="17"/>
      <c r="E69" s="17"/>
      <c r="F69" s="165"/>
      <c r="G69" s="165"/>
      <c r="H69" s="17"/>
      <c r="I69" s="160">
        <f t="shared" si="0"/>
        <v>0</v>
      </c>
      <c r="J69" s="21"/>
    </row>
    <row r="70" spans="2:10" x14ac:dyDescent="0.35">
      <c r="B70" s="12">
        <v>65</v>
      </c>
      <c r="C70" s="17"/>
      <c r="D70" s="17"/>
      <c r="E70" s="17"/>
      <c r="F70" s="165"/>
      <c r="G70" s="165"/>
      <c r="H70" s="17"/>
      <c r="I70" s="160">
        <f t="shared" si="0"/>
        <v>0</v>
      </c>
      <c r="J70" s="21"/>
    </row>
    <row r="71" spans="2:10" x14ac:dyDescent="0.35">
      <c r="B71" s="12">
        <v>66</v>
      </c>
      <c r="C71" s="17"/>
      <c r="D71" s="17"/>
      <c r="E71" s="17"/>
      <c r="F71" s="165"/>
      <c r="G71" s="165"/>
      <c r="H71" s="17"/>
      <c r="I71" s="160">
        <f t="shared" si="0"/>
        <v>0</v>
      </c>
      <c r="J71" s="21"/>
    </row>
    <row r="72" spans="2:10" x14ac:dyDescent="0.35">
      <c r="B72" s="12">
        <v>67</v>
      </c>
      <c r="C72" s="17"/>
      <c r="D72" s="17"/>
      <c r="E72" s="17"/>
      <c r="F72" s="165"/>
      <c r="G72" s="165"/>
      <c r="H72" s="17"/>
      <c r="I72" s="160">
        <f t="shared" si="0"/>
        <v>0</v>
      </c>
      <c r="J72" s="21"/>
    </row>
    <row r="73" spans="2:10" x14ac:dyDescent="0.35">
      <c r="B73" s="12">
        <v>68</v>
      </c>
      <c r="C73" s="17"/>
      <c r="D73" s="17"/>
      <c r="E73" s="17"/>
      <c r="F73" s="165"/>
      <c r="G73" s="165"/>
      <c r="H73" s="17"/>
      <c r="I73" s="160">
        <f t="shared" ref="I73:I136" si="1">G73*H73</f>
        <v>0</v>
      </c>
      <c r="J73" s="21"/>
    </row>
    <row r="74" spans="2:10" x14ac:dyDescent="0.35">
      <c r="B74" s="12">
        <v>69</v>
      </c>
      <c r="C74" s="17"/>
      <c r="D74" s="17"/>
      <c r="E74" s="17"/>
      <c r="F74" s="165"/>
      <c r="G74" s="165"/>
      <c r="H74" s="17"/>
      <c r="I74" s="160">
        <f t="shared" si="1"/>
        <v>0</v>
      </c>
      <c r="J74" s="21"/>
    </row>
    <row r="75" spans="2:10" x14ac:dyDescent="0.35">
      <c r="B75" s="12">
        <v>70</v>
      </c>
      <c r="C75" s="17"/>
      <c r="D75" s="17"/>
      <c r="E75" s="17"/>
      <c r="F75" s="165"/>
      <c r="G75" s="165"/>
      <c r="H75" s="17"/>
      <c r="I75" s="160">
        <f t="shared" si="1"/>
        <v>0</v>
      </c>
      <c r="J75" s="21"/>
    </row>
    <row r="76" spans="2:10" x14ac:dyDescent="0.35">
      <c r="B76" s="12">
        <v>71</v>
      </c>
      <c r="C76" s="17"/>
      <c r="D76" s="17"/>
      <c r="E76" s="17"/>
      <c r="F76" s="165"/>
      <c r="G76" s="165"/>
      <c r="H76" s="17"/>
      <c r="I76" s="160">
        <f t="shared" si="1"/>
        <v>0</v>
      </c>
      <c r="J76" s="21"/>
    </row>
    <row r="77" spans="2:10" x14ac:dyDescent="0.35">
      <c r="B77" s="12">
        <v>72</v>
      </c>
      <c r="C77" s="17"/>
      <c r="D77" s="17"/>
      <c r="E77" s="17"/>
      <c r="F77" s="165"/>
      <c r="G77" s="165"/>
      <c r="H77" s="17"/>
      <c r="I77" s="160">
        <f t="shared" si="1"/>
        <v>0</v>
      </c>
      <c r="J77" s="21"/>
    </row>
    <row r="78" spans="2:10" x14ac:dyDescent="0.35">
      <c r="B78" s="12">
        <v>73</v>
      </c>
      <c r="C78" s="17"/>
      <c r="D78" s="17"/>
      <c r="E78" s="17"/>
      <c r="F78" s="165"/>
      <c r="G78" s="165"/>
      <c r="H78" s="17"/>
      <c r="I78" s="160">
        <f t="shared" si="1"/>
        <v>0</v>
      </c>
      <c r="J78" s="21"/>
    </row>
    <row r="79" spans="2:10" x14ac:dyDescent="0.35">
      <c r="B79" s="12">
        <v>74</v>
      </c>
      <c r="C79" s="17"/>
      <c r="D79" s="17"/>
      <c r="E79" s="17"/>
      <c r="F79" s="165"/>
      <c r="G79" s="165"/>
      <c r="H79" s="17"/>
      <c r="I79" s="160">
        <f t="shared" si="1"/>
        <v>0</v>
      </c>
      <c r="J79" s="21"/>
    </row>
    <row r="80" spans="2:10" x14ac:dyDescent="0.35">
      <c r="B80" s="12">
        <v>75</v>
      </c>
      <c r="C80" s="17"/>
      <c r="D80" s="17"/>
      <c r="E80" s="17"/>
      <c r="F80" s="165"/>
      <c r="G80" s="165"/>
      <c r="H80" s="17"/>
      <c r="I80" s="160">
        <f t="shared" si="1"/>
        <v>0</v>
      </c>
      <c r="J80" s="21"/>
    </row>
    <row r="81" spans="2:10" x14ac:dyDescent="0.35">
      <c r="B81" s="12">
        <v>76</v>
      </c>
      <c r="C81" s="17"/>
      <c r="D81" s="17"/>
      <c r="E81" s="17"/>
      <c r="F81" s="165"/>
      <c r="G81" s="165"/>
      <c r="H81" s="17"/>
      <c r="I81" s="160">
        <f t="shared" si="1"/>
        <v>0</v>
      </c>
      <c r="J81" s="21"/>
    </row>
    <row r="82" spans="2:10" x14ac:dyDescent="0.35">
      <c r="B82" s="12">
        <v>77</v>
      </c>
      <c r="C82" s="17"/>
      <c r="D82" s="17"/>
      <c r="E82" s="17"/>
      <c r="F82" s="165"/>
      <c r="G82" s="165"/>
      <c r="H82" s="17"/>
      <c r="I82" s="160">
        <f t="shared" si="1"/>
        <v>0</v>
      </c>
      <c r="J82" s="21"/>
    </row>
    <row r="83" spans="2:10" x14ac:dyDescent="0.35">
      <c r="B83" s="12">
        <v>78</v>
      </c>
      <c r="C83" s="17"/>
      <c r="D83" s="17"/>
      <c r="E83" s="17"/>
      <c r="F83" s="165"/>
      <c r="G83" s="165"/>
      <c r="H83" s="17"/>
      <c r="I83" s="160">
        <f t="shared" si="1"/>
        <v>0</v>
      </c>
      <c r="J83" s="21"/>
    </row>
    <row r="84" spans="2:10" x14ac:dyDescent="0.35">
      <c r="B84" s="12">
        <v>79</v>
      </c>
      <c r="C84" s="17"/>
      <c r="D84" s="17"/>
      <c r="E84" s="17"/>
      <c r="F84" s="165"/>
      <c r="G84" s="165"/>
      <c r="H84" s="17"/>
      <c r="I84" s="160">
        <f t="shared" si="1"/>
        <v>0</v>
      </c>
      <c r="J84" s="21"/>
    </row>
    <row r="85" spans="2:10" x14ac:dyDescent="0.35">
      <c r="B85" s="12">
        <v>80</v>
      </c>
      <c r="C85" s="17"/>
      <c r="D85" s="17"/>
      <c r="E85" s="17"/>
      <c r="F85" s="165"/>
      <c r="G85" s="165"/>
      <c r="H85" s="17"/>
      <c r="I85" s="160">
        <f t="shared" si="1"/>
        <v>0</v>
      </c>
      <c r="J85" s="21"/>
    </row>
    <row r="86" spans="2:10" x14ac:dyDescent="0.35">
      <c r="B86" s="12">
        <v>81</v>
      </c>
      <c r="C86" s="17"/>
      <c r="D86" s="17"/>
      <c r="E86" s="17"/>
      <c r="F86" s="165"/>
      <c r="G86" s="165"/>
      <c r="H86" s="17"/>
      <c r="I86" s="160">
        <f t="shared" si="1"/>
        <v>0</v>
      </c>
      <c r="J86" s="21"/>
    </row>
    <row r="87" spans="2:10" x14ac:dyDescent="0.35">
      <c r="B87" s="12">
        <v>82</v>
      </c>
      <c r="C87" s="17"/>
      <c r="D87" s="17"/>
      <c r="E87" s="17"/>
      <c r="F87" s="165"/>
      <c r="G87" s="165"/>
      <c r="H87" s="17"/>
      <c r="I87" s="160">
        <f t="shared" si="1"/>
        <v>0</v>
      </c>
      <c r="J87" s="21"/>
    </row>
    <row r="88" spans="2:10" x14ac:dyDescent="0.35">
      <c r="B88" s="12">
        <v>83</v>
      </c>
      <c r="C88" s="17"/>
      <c r="D88" s="17"/>
      <c r="E88" s="17"/>
      <c r="F88" s="165"/>
      <c r="G88" s="165"/>
      <c r="H88" s="17"/>
      <c r="I88" s="160">
        <f t="shared" si="1"/>
        <v>0</v>
      </c>
      <c r="J88" s="21"/>
    </row>
    <row r="89" spans="2:10" x14ac:dyDescent="0.35">
      <c r="B89" s="12">
        <v>84</v>
      </c>
      <c r="C89" s="17"/>
      <c r="D89" s="17"/>
      <c r="E89" s="17"/>
      <c r="F89" s="165"/>
      <c r="G89" s="165"/>
      <c r="H89" s="17"/>
      <c r="I89" s="160">
        <f t="shared" si="1"/>
        <v>0</v>
      </c>
      <c r="J89" s="21"/>
    </row>
    <row r="90" spans="2:10" x14ac:dyDescent="0.35">
      <c r="B90" s="12">
        <v>85</v>
      </c>
      <c r="C90" s="17"/>
      <c r="D90" s="17"/>
      <c r="E90" s="17"/>
      <c r="F90" s="165"/>
      <c r="G90" s="165"/>
      <c r="H90" s="17"/>
      <c r="I90" s="160">
        <f t="shared" si="1"/>
        <v>0</v>
      </c>
      <c r="J90" s="21"/>
    </row>
    <row r="91" spans="2:10" x14ac:dyDescent="0.35">
      <c r="B91" s="12">
        <v>86</v>
      </c>
      <c r="C91" s="17"/>
      <c r="D91" s="17"/>
      <c r="E91" s="17"/>
      <c r="F91" s="165"/>
      <c r="G91" s="165"/>
      <c r="H91" s="17"/>
      <c r="I91" s="160">
        <f t="shared" si="1"/>
        <v>0</v>
      </c>
      <c r="J91" s="21"/>
    </row>
    <row r="92" spans="2:10" x14ac:dyDescent="0.35">
      <c r="B92" s="12">
        <v>87</v>
      </c>
      <c r="C92" s="17"/>
      <c r="D92" s="17"/>
      <c r="E92" s="17"/>
      <c r="F92" s="165"/>
      <c r="G92" s="165"/>
      <c r="H92" s="17"/>
      <c r="I92" s="160">
        <f t="shared" si="1"/>
        <v>0</v>
      </c>
      <c r="J92" s="21"/>
    </row>
    <row r="93" spans="2:10" x14ac:dyDescent="0.35">
      <c r="B93" s="12">
        <v>88</v>
      </c>
      <c r="C93" s="17"/>
      <c r="D93" s="17"/>
      <c r="E93" s="17"/>
      <c r="F93" s="165"/>
      <c r="G93" s="165"/>
      <c r="H93" s="17"/>
      <c r="I93" s="160">
        <f t="shared" si="1"/>
        <v>0</v>
      </c>
      <c r="J93" s="21"/>
    </row>
    <row r="94" spans="2:10" x14ac:dyDescent="0.35">
      <c r="B94" s="12">
        <v>89</v>
      </c>
      <c r="C94" s="17"/>
      <c r="D94" s="17"/>
      <c r="E94" s="17"/>
      <c r="F94" s="165"/>
      <c r="G94" s="165"/>
      <c r="H94" s="17"/>
      <c r="I94" s="160">
        <f t="shared" si="1"/>
        <v>0</v>
      </c>
      <c r="J94" s="21"/>
    </row>
    <row r="95" spans="2:10" x14ac:dyDescent="0.35">
      <c r="B95" s="12">
        <v>90</v>
      </c>
      <c r="C95" s="17"/>
      <c r="D95" s="17"/>
      <c r="E95" s="17"/>
      <c r="F95" s="165"/>
      <c r="G95" s="165"/>
      <c r="H95" s="17"/>
      <c r="I95" s="160">
        <f t="shared" si="1"/>
        <v>0</v>
      </c>
      <c r="J95" s="21"/>
    </row>
    <row r="96" spans="2:10" x14ac:dyDescent="0.35">
      <c r="B96" s="12">
        <v>91</v>
      </c>
      <c r="C96" s="17"/>
      <c r="D96" s="17"/>
      <c r="E96" s="17"/>
      <c r="F96" s="165"/>
      <c r="G96" s="165"/>
      <c r="H96" s="17"/>
      <c r="I96" s="160">
        <f t="shared" si="1"/>
        <v>0</v>
      </c>
      <c r="J96" s="21"/>
    </row>
    <row r="97" spans="2:10" x14ac:dyDescent="0.35">
      <c r="B97" s="12">
        <v>92</v>
      </c>
      <c r="C97" s="17"/>
      <c r="D97" s="17"/>
      <c r="E97" s="17"/>
      <c r="F97" s="165"/>
      <c r="G97" s="165"/>
      <c r="H97" s="17"/>
      <c r="I97" s="160">
        <f t="shared" si="1"/>
        <v>0</v>
      </c>
      <c r="J97" s="21"/>
    </row>
    <row r="98" spans="2:10" x14ac:dyDescent="0.35">
      <c r="B98" s="12">
        <v>93</v>
      </c>
      <c r="C98" s="17"/>
      <c r="D98" s="17"/>
      <c r="E98" s="17"/>
      <c r="F98" s="165"/>
      <c r="G98" s="165"/>
      <c r="H98" s="17"/>
      <c r="I98" s="160">
        <f t="shared" si="1"/>
        <v>0</v>
      </c>
      <c r="J98" s="21"/>
    </row>
    <row r="99" spans="2:10" x14ac:dyDescent="0.35">
      <c r="B99" s="12">
        <v>94</v>
      </c>
      <c r="C99" s="17"/>
      <c r="D99" s="17"/>
      <c r="E99" s="17"/>
      <c r="F99" s="165"/>
      <c r="G99" s="165"/>
      <c r="H99" s="17"/>
      <c r="I99" s="160">
        <f t="shared" si="1"/>
        <v>0</v>
      </c>
      <c r="J99" s="21"/>
    </row>
    <row r="100" spans="2:10" x14ac:dyDescent="0.35">
      <c r="B100" s="12">
        <v>95</v>
      </c>
      <c r="C100" s="17"/>
      <c r="D100" s="17"/>
      <c r="E100" s="17"/>
      <c r="F100" s="165"/>
      <c r="G100" s="165"/>
      <c r="H100" s="17"/>
      <c r="I100" s="160">
        <f t="shared" si="1"/>
        <v>0</v>
      </c>
      <c r="J100" s="21"/>
    </row>
    <row r="101" spans="2:10" x14ac:dyDescent="0.35">
      <c r="B101" s="12">
        <v>96</v>
      </c>
      <c r="C101" s="17"/>
      <c r="D101" s="17"/>
      <c r="E101" s="17"/>
      <c r="F101" s="165"/>
      <c r="G101" s="165"/>
      <c r="H101" s="17"/>
      <c r="I101" s="160">
        <f t="shared" si="1"/>
        <v>0</v>
      </c>
      <c r="J101" s="21"/>
    </row>
    <row r="102" spans="2:10" x14ac:dyDescent="0.35">
      <c r="B102" s="12">
        <v>97</v>
      </c>
      <c r="C102" s="17"/>
      <c r="D102" s="17"/>
      <c r="E102" s="17"/>
      <c r="F102" s="165"/>
      <c r="G102" s="165"/>
      <c r="H102" s="17"/>
      <c r="I102" s="160">
        <f t="shared" si="1"/>
        <v>0</v>
      </c>
      <c r="J102" s="21"/>
    </row>
    <row r="103" spans="2:10" x14ac:dyDescent="0.35">
      <c r="B103" s="12">
        <v>98</v>
      </c>
      <c r="C103" s="17"/>
      <c r="D103" s="17"/>
      <c r="E103" s="17"/>
      <c r="F103" s="165"/>
      <c r="G103" s="165"/>
      <c r="H103" s="17"/>
      <c r="I103" s="160">
        <f t="shared" si="1"/>
        <v>0</v>
      </c>
      <c r="J103" s="21"/>
    </row>
    <row r="104" spans="2:10" x14ac:dyDescent="0.35">
      <c r="B104" s="12">
        <v>99</v>
      </c>
      <c r="C104" s="17"/>
      <c r="D104" s="17"/>
      <c r="E104" s="17"/>
      <c r="F104" s="165"/>
      <c r="G104" s="165"/>
      <c r="H104" s="17"/>
      <c r="I104" s="160">
        <f t="shared" si="1"/>
        <v>0</v>
      </c>
      <c r="J104" s="21"/>
    </row>
    <row r="105" spans="2:10" x14ac:dyDescent="0.35">
      <c r="B105" s="12">
        <v>100</v>
      </c>
      <c r="C105" s="17"/>
      <c r="D105" s="17"/>
      <c r="E105" s="17"/>
      <c r="F105" s="165"/>
      <c r="G105" s="165"/>
      <c r="H105" s="17"/>
      <c r="I105" s="160">
        <f t="shared" si="1"/>
        <v>0</v>
      </c>
      <c r="J105" s="21"/>
    </row>
    <row r="106" spans="2:10" x14ac:dyDescent="0.35">
      <c r="B106" s="12">
        <v>101</v>
      </c>
      <c r="C106" s="17"/>
      <c r="D106" s="17"/>
      <c r="E106" s="17"/>
      <c r="F106" s="165"/>
      <c r="G106" s="165"/>
      <c r="H106" s="17"/>
      <c r="I106" s="160">
        <f t="shared" si="1"/>
        <v>0</v>
      </c>
      <c r="J106" s="21"/>
    </row>
    <row r="107" spans="2:10" x14ac:dyDescent="0.35">
      <c r="B107" s="12">
        <v>102</v>
      </c>
      <c r="C107" s="17"/>
      <c r="D107" s="17"/>
      <c r="E107" s="17"/>
      <c r="F107" s="165"/>
      <c r="G107" s="165"/>
      <c r="H107" s="17"/>
      <c r="I107" s="160">
        <f t="shared" si="1"/>
        <v>0</v>
      </c>
      <c r="J107" s="21"/>
    </row>
    <row r="108" spans="2:10" x14ac:dyDescent="0.35">
      <c r="B108" s="12">
        <v>103</v>
      </c>
      <c r="C108" s="17"/>
      <c r="D108" s="17"/>
      <c r="E108" s="17"/>
      <c r="F108" s="165"/>
      <c r="G108" s="165"/>
      <c r="H108" s="17"/>
      <c r="I108" s="160">
        <f t="shared" si="1"/>
        <v>0</v>
      </c>
      <c r="J108" s="21"/>
    </row>
    <row r="109" spans="2:10" x14ac:dyDescent="0.35">
      <c r="B109" s="12">
        <v>104</v>
      </c>
      <c r="C109" s="17"/>
      <c r="D109" s="17"/>
      <c r="E109" s="17"/>
      <c r="F109" s="165"/>
      <c r="G109" s="165"/>
      <c r="H109" s="17"/>
      <c r="I109" s="160">
        <f t="shared" si="1"/>
        <v>0</v>
      </c>
      <c r="J109" s="21"/>
    </row>
    <row r="110" spans="2:10" x14ac:dyDescent="0.35">
      <c r="B110" s="12">
        <v>105</v>
      </c>
      <c r="C110" s="17"/>
      <c r="D110" s="17"/>
      <c r="E110" s="17"/>
      <c r="F110" s="165"/>
      <c r="G110" s="165"/>
      <c r="H110" s="17"/>
      <c r="I110" s="160">
        <f t="shared" si="1"/>
        <v>0</v>
      </c>
      <c r="J110" s="21"/>
    </row>
    <row r="111" spans="2:10" x14ac:dyDescent="0.35">
      <c r="B111" s="12">
        <v>106</v>
      </c>
      <c r="C111" s="17"/>
      <c r="D111" s="17"/>
      <c r="E111" s="17"/>
      <c r="F111" s="165"/>
      <c r="G111" s="165"/>
      <c r="H111" s="17"/>
      <c r="I111" s="160">
        <f t="shared" si="1"/>
        <v>0</v>
      </c>
      <c r="J111" s="21"/>
    </row>
    <row r="112" spans="2:10" x14ac:dyDescent="0.35">
      <c r="B112" s="12">
        <v>107</v>
      </c>
      <c r="C112" s="17"/>
      <c r="D112" s="17"/>
      <c r="E112" s="17"/>
      <c r="F112" s="165"/>
      <c r="G112" s="165"/>
      <c r="H112" s="17"/>
      <c r="I112" s="160">
        <f t="shared" si="1"/>
        <v>0</v>
      </c>
      <c r="J112" s="21"/>
    </row>
    <row r="113" spans="2:10" x14ac:dyDescent="0.35">
      <c r="B113" s="12">
        <v>108</v>
      </c>
      <c r="C113" s="17"/>
      <c r="D113" s="17"/>
      <c r="E113" s="17"/>
      <c r="F113" s="165"/>
      <c r="G113" s="165"/>
      <c r="H113" s="17"/>
      <c r="I113" s="160">
        <f t="shared" si="1"/>
        <v>0</v>
      </c>
      <c r="J113" s="21"/>
    </row>
    <row r="114" spans="2:10" x14ac:dyDescent="0.35">
      <c r="B114" s="12">
        <v>109</v>
      </c>
      <c r="C114" s="17"/>
      <c r="D114" s="17"/>
      <c r="E114" s="17"/>
      <c r="F114" s="165"/>
      <c r="G114" s="165"/>
      <c r="H114" s="17"/>
      <c r="I114" s="160">
        <f t="shared" si="1"/>
        <v>0</v>
      </c>
      <c r="J114" s="21"/>
    </row>
    <row r="115" spans="2:10" x14ac:dyDescent="0.35">
      <c r="B115" s="12">
        <v>110</v>
      </c>
      <c r="C115" s="17"/>
      <c r="D115" s="17"/>
      <c r="E115" s="17"/>
      <c r="F115" s="165"/>
      <c r="G115" s="165"/>
      <c r="H115" s="17"/>
      <c r="I115" s="160">
        <f t="shared" si="1"/>
        <v>0</v>
      </c>
      <c r="J115" s="21"/>
    </row>
    <row r="116" spans="2:10" x14ac:dyDescent="0.35">
      <c r="B116" s="12">
        <v>111</v>
      </c>
      <c r="C116" s="17"/>
      <c r="D116" s="17"/>
      <c r="E116" s="17"/>
      <c r="F116" s="165"/>
      <c r="G116" s="165"/>
      <c r="H116" s="17"/>
      <c r="I116" s="160">
        <f t="shared" si="1"/>
        <v>0</v>
      </c>
      <c r="J116" s="21"/>
    </row>
    <row r="117" spans="2:10" x14ac:dyDescent="0.35">
      <c r="B117" s="12">
        <v>112</v>
      </c>
      <c r="C117" s="17"/>
      <c r="D117" s="17"/>
      <c r="E117" s="17"/>
      <c r="F117" s="165"/>
      <c r="G117" s="165"/>
      <c r="H117" s="17"/>
      <c r="I117" s="160">
        <f t="shared" si="1"/>
        <v>0</v>
      </c>
      <c r="J117" s="21"/>
    </row>
    <row r="118" spans="2:10" x14ac:dyDescent="0.35">
      <c r="B118" s="12">
        <v>113</v>
      </c>
      <c r="C118" s="17"/>
      <c r="D118" s="17"/>
      <c r="E118" s="17"/>
      <c r="F118" s="165"/>
      <c r="G118" s="165"/>
      <c r="H118" s="17"/>
      <c r="I118" s="160">
        <f t="shared" si="1"/>
        <v>0</v>
      </c>
      <c r="J118" s="21"/>
    </row>
    <row r="119" spans="2:10" x14ac:dyDescent="0.35">
      <c r="B119" s="12">
        <v>114</v>
      </c>
      <c r="C119" s="17"/>
      <c r="D119" s="17"/>
      <c r="E119" s="17"/>
      <c r="F119" s="165"/>
      <c r="G119" s="165"/>
      <c r="H119" s="17"/>
      <c r="I119" s="160">
        <f t="shared" si="1"/>
        <v>0</v>
      </c>
      <c r="J119" s="21"/>
    </row>
    <row r="120" spans="2:10" x14ac:dyDescent="0.35">
      <c r="B120" s="12">
        <v>115</v>
      </c>
      <c r="C120" s="17"/>
      <c r="D120" s="17"/>
      <c r="E120" s="17"/>
      <c r="F120" s="165"/>
      <c r="G120" s="165"/>
      <c r="H120" s="17"/>
      <c r="I120" s="160">
        <f t="shared" si="1"/>
        <v>0</v>
      </c>
      <c r="J120" s="21"/>
    </row>
    <row r="121" spans="2:10" x14ac:dyDescent="0.35">
      <c r="B121" s="12">
        <v>116</v>
      </c>
      <c r="C121" s="17"/>
      <c r="D121" s="17"/>
      <c r="E121" s="17"/>
      <c r="F121" s="165"/>
      <c r="G121" s="165"/>
      <c r="H121" s="17"/>
      <c r="I121" s="160">
        <f t="shared" si="1"/>
        <v>0</v>
      </c>
      <c r="J121" s="21"/>
    </row>
    <row r="122" spans="2:10" x14ac:dyDescent="0.35">
      <c r="B122" s="12">
        <v>117</v>
      </c>
      <c r="C122" s="17"/>
      <c r="D122" s="17"/>
      <c r="E122" s="17"/>
      <c r="F122" s="165"/>
      <c r="G122" s="165"/>
      <c r="H122" s="17"/>
      <c r="I122" s="160">
        <f t="shared" si="1"/>
        <v>0</v>
      </c>
      <c r="J122" s="21"/>
    </row>
    <row r="123" spans="2:10" x14ac:dyDescent="0.35">
      <c r="B123" s="12">
        <v>118</v>
      </c>
      <c r="C123" s="17"/>
      <c r="D123" s="17"/>
      <c r="E123" s="17"/>
      <c r="F123" s="165"/>
      <c r="G123" s="165"/>
      <c r="H123" s="17"/>
      <c r="I123" s="160">
        <f t="shared" si="1"/>
        <v>0</v>
      </c>
      <c r="J123" s="21"/>
    </row>
    <row r="124" spans="2:10" x14ac:dyDescent="0.35">
      <c r="B124" s="12">
        <v>119</v>
      </c>
      <c r="C124" s="17"/>
      <c r="D124" s="17"/>
      <c r="E124" s="17"/>
      <c r="F124" s="165"/>
      <c r="G124" s="165"/>
      <c r="H124" s="17"/>
      <c r="I124" s="160">
        <f t="shared" si="1"/>
        <v>0</v>
      </c>
      <c r="J124" s="21"/>
    </row>
    <row r="125" spans="2:10" x14ac:dyDescent="0.35">
      <c r="B125" s="12">
        <v>120</v>
      </c>
      <c r="C125" s="17"/>
      <c r="D125" s="17"/>
      <c r="E125" s="17"/>
      <c r="F125" s="165"/>
      <c r="G125" s="165"/>
      <c r="H125" s="17"/>
      <c r="I125" s="160">
        <f t="shared" si="1"/>
        <v>0</v>
      </c>
      <c r="J125" s="21"/>
    </row>
    <row r="126" spans="2:10" x14ac:dyDescent="0.35">
      <c r="B126" s="12">
        <v>121</v>
      </c>
      <c r="C126" s="17"/>
      <c r="D126" s="17"/>
      <c r="E126" s="17"/>
      <c r="F126" s="165"/>
      <c r="G126" s="165"/>
      <c r="H126" s="17"/>
      <c r="I126" s="160">
        <f t="shared" si="1"/>
        <v>0</v>
      </c>
      <c r="J126" s="21"/>
    </row>
    <row r="127" spans="2:10" x14ac:dyDescent="0.35">
      <c r="B127" s="12">
        <v>122</v>
      </c>
      <c r="C127" s="17"/>
      <c r="D127" s="17"/>
      <c r="E127" s="17"/>
      <c r="F127" s="165"/>
      <c r="G127" s="165"/>
      <c r="H127" s="17"/>
      <c r="I127" s="160">
        <f t="shared" si="1"/>
        <v>0</v>
      </c>
      <c r="J127" s="21"/>
    </row>
    <row r="128" spans="2:10" x14ac:dyDescent="0.35">
      <c r="B128" s="12">
        <v>123</v>
      </c>
      <c r="C128" s="17"/>
      <c r="D128" s="17"/>
      <c r="E128" s="17"/>
      <c r="F128" s="165"/>
      <c r="G128" s="165"/>
      <c r="H128" s="17"/>
      <c r="I128" s="160">
        <f t="shared" si="1"/>
        <v>0</v>
      </c>
      <c r="J128" s="21"/>
    </row>
    <row r="129" spans="2:10" x14ac:dyDescent="0.35">
      <c r="B129" s="12">
        <v>124</v>
      </c>
      <c r="C129" s="17"/>
      <c r="D129" s="17"/>
      <c r="E129" s="17"/>
      <c r="F129" s="165"/>
      <c r="G129" s="165"/>
      <c r="H129" s="17"/>
      <c r="I129" s="160">
        <f t="shared" si="1"/>
        <v>0</v>
      </c>
      <c r="J129" s="21"/>
    </row>
    <row r="130" spans="2:10" x14ac:dyDescent="0.35">
      <c r="B130" s="12">
        <v>125</v>
      </c>
      <c r="C130" s="17"/>
      <c r="D130" s="17"/>
      <c r="E130" s="17"/>
      <c r="F130" s="165"/>
      <c r="G130" s="165"/>
      <c r="H130" s="17"/>
      <c r="I130" s="160">
        <f t="shared" si="1"/>
        <v>0</v>
      </c>
      <c r="J130" s="21"/>
    </row>
    <row r="131" spans="2:10" x14ac:dyDescent="0.35">
      <c r="B131" s="12">
        <v>126</v>
      </c>
      <c r="C131" s="17"/>
      <c r="D131" s="17"/>
      <c r="E131" s="17"/>
      <c r="F131" s="165"/>
      <c r="G131" s="165"/>
      <c r="H131" s="17"/>
      <c r="I131" s="160">
        <f t="shared" si="1"/>
        <v>0</v>
      </c>
      <c r="J131" s="21"/>
    </row>
    <row r="132" spans="2:10" x14ac:dyDescent="0.35">
      <c r="B132" s="12">
        <v>127</v>
      </c>
      <c r="C132" s="17"/>
      <c r="D132" s="17"/>
      <c r="E132" s="17"/>
      <c r="F132" s="165"/>
      <c r="G132" s="165"/>
      <c r="H132" s="17"/>
      <c r="I132" s="160">
        <f t="shared" si="1"/>
        <v>0</v>
      </c>
      <c r="J132" s="21"/>
    </row>
    <row r="133" spans="2:10" x14ac:dyDescent="0.35">
      <c r="B133" s="12">
        <v>128</v>
      </c>
      <c r="C133" s="17"/>
      <c r="D133" s="17"/>
      <c r="E133" s="17"/>
      <c r="F133" s="165"/>
      <c r="G133" s="165"/>
      <c r="H133" s="17"/>
      <c r="I133" s="160">
        <f t="shared" si="1"/>
        <v>0</v>
      </c>
      <c r="J133" s="21"/>
    </row>
    <row r="134" spans="2:10" x14ac:dyDescent="0.35">
      <c r="B134" s="12">
        <v>129</v>
      </c>
      <c r="C134" s="17"/>
      <c r="D134" s="17"/>
      <c r="E134" s="17"/>
      <c r="F134" s="165"/>
      <c r="G134" s="165"/>
      <c r="H134" s="17"/>
      <c r="I134" s="160">
        <f t="shared" si="1"/>
        <v>0</v>
      </c>
      <c r="J134" s="21"/>
    </row>
    <row r="135" spans="2:10" x14ac:dyDescent="0.35">
      <c r="B135" s="12">
        <v>130</v>
      </c>
      <c r="C135" s="17"/>
      <c r="D135" s="17"/>
      <c r="E135" s="17"/>
      <c r="F135" s="165"/>
      <c r="G135" s="165"/>
      <c r="H135" s="17"/>
      <c r="I135" s="160">
        <f t="shared" si="1"/>
        <v>0</v>
      </c>
      <c r="J135" s="21"/>
    </row>
    <row r="136" spans="2:10" x14ac:dyDescent="0.35">
      <c r="B136" s="12">
        <v>131</v>
      </c>
      <c r="C136" s="17"/>
      <c r="D136" s="17"/>
      <c r="E136" s="17"/>
      <c r="F136" s="165"/>
      <c r="G136" s="165"/>
      <c r="H136" s="17"/>
      <c r="I136" s="160">
        <f t="shared" si="1"/>
        <v>0</v>
      </c>
      <c r="J136" s="21"/>
    </row>
    <row r="137" spans="2:10" x14ac:dyDescent="0.35">
      <c r="B137" s="12">
        <v>132</v>
      </c>
      <c r="C137" s="17"/>
      <c r="D137" s="17"/>
      <c r="E137" s="17"/>
      <c r="F137" s="165"/>
      <c r="G137" s="165"/>
      <c r="H137" s="17"/>
      <c r="I137" s="160">
        <f t="shared" ref="I137:I200" si="2">G137*H137</f>
        <v>0</v>
      </c>
      <c r="J137" s="21"/>
    </row>
    <row r="138" spans="2:10" x14ac:dyDescent="0.35">
      <c r="B138" s="12">
        <v>133</v>
      </c>
      <c r="C138" s="17"/>
      <c r="D138" s="17"/>
      <c r="E138" s="17"/>
      <c r="F138" s="165"/>
      <c r="G138" s="165"/>
      <c r="H138" s="17"/>
      <c r="I138" s="160">
        <f t="shared" si="2"/>
        <v>0</v>
      </c>
      <c r="J138" s="21"/>
    </row>
    <row r="139" spans="2:10" x14ac:dyDescent="0.35">
      <c r="B139" s="12">
        <v>134</v>
      </c>
      <c r="C139" s="17"/>
      <c r="D139" s="17"/>
      <c r="E139" s="17"/>
      <c r="F139" s="165"/>
      <c r="G139" s="165"/>
      <c r="H139" s="17"/>
      <c r="I139" s="160">
        <f t="shared" si="2"/>
        <v>0</v>
      </c>
      <c r="J139" s="21"/>
    </row>
    <row r="140" spans="2:10" x14ac:dyDescent="0.35">
      <c r="B140" s="12">
        <v>135</v>
      </c>
      <c r="C140" s="17"/>
      <c r="D140" s="17"/>
      <c r="E140" s="17"/>
      <c r="F140" s="165"/>
      <c r="G140" s="165"/>
      <c r="H140" s="17"/>
      <c r="I140" s="160">
        <f t="shared" si="2"/>
        <v>0</v>
      </c>
      <c r="J140" s="21"/>
    </row>
    <row r="141" spans="2:10" x14ac:dyDescent="0.35">
      <c r="B141" s="12">
        <v>136</v>
      </c>
      <c r="C141" s="17"/>
      <c r="D141" s="17"/>
      <c r="E141" s="17"/>
      <c r="F141" s="165"/>
      <c r="G141" s="165"/>
      <c r="H141" s="17"/>
      <c r="I141" s="160">
        <f t="shared" si="2"/>
        <v>0</v>
      </c>
      <c r="J141" s="21"/>
    </row>
    <row r="142" spans="2:10" x14ac:dyDescent="0.35">
      <c r="B142" s="12">
        <v>137</v>
      </c>
      <c r="C142" s="17"/>
      <c r="D142" s="17"/>
      <c r="E142" s="17"/>
      <c r="F142" s="165"/>
      <c r="G142" s="165"/>
      <c r="H142" s="17"/>
      <c r="I142" s="160">
        <f t="shared" si="2"/>
        <v>0</v>
      </c>
      <c r="J142" s="21"/>
    </row>
    <row r="143" spans="2:10" x14ac:dyDescent="0.35">
      <c r="B143" s="12">
        <v>138</v>
      </c>
      <c r="C143" s="17"/>
      <c r="D143" s="17"/>
      <c r="E143" s="17"/>
      <c r="F143" s="165"/>
      <c r="G143" s="165"/>
      <c r="H143" s="17"/>
      <c r="I143" s="160">
        <f t="shared" si="2"/>
        <v>0</v>
      </c>
      <c r="J143" s="21"/>
    </row>
    <row r="144" spans="2:10" x14ac:dyDescent="0.35">
      <c r="B144" s="12">
        <v>139</v>
      </c>
      <c r="C144" s="17"/>
      <c r="D144" s="17"/>
      <c r="E144" s="17"/>
      <c r="F144" s="165"/>
      <c r="G144" s="165"/>
      <c r="H144" s="17"/>
      <c r="I144" s="160">
        <f t="shared" si="2"/>
        <v>0</v>
      </c>
      <c r="J144" s="21"/>
    </row>
    <row r="145" spans="2:10" x14ac:dyDescent="0.35">
      <c r="B145" s="12">
        <v>140</v>
      </c>
      <c r="C145" s="17"/>
      <c r="D145" s="17"/>
      <c r="E145" s="17"/>
      <c r="F145" s="165"/>
      <c r="G145" s="165"/>
      <c r="H145" s="17"/>
      <c r="I145" s="160">
        <f t="shared" si="2"/>
        <v>0</v>
      </c>
      <c r="J145" s="21"/>
    </row>
    <row r="146" spans="2:10" x14ac:dyDescent="0.35">
      <c r="B146" s="12">
        <v>141</v>
      </c>
      <c r="C146" s="17"/>
      <c r="D146" s="17"/>
      <c r="E146" s="17"/>
      <c r="F146" s="165"/>
      <c r="G146" s="165"/>
      <c r="H146" s="17"/>
      <c r="I146" s="160">
        <f t="shared" si="2"/>
        <v>0</v>
      </c>
      <c r="J146" s="21"/>
    </row>
    <row r="147" spans="2:10" x14ac:dyDescent="0.35">
      <c r="B147" s="12">
        <v>142</v>
      </c>
      <c r="C147" s="17"/>
      <c r="D147" s="17"/>
      <c r="E147" s="17"/>
      <c r="F147" s="165"/>
      <c r="G147" s="165"/>
      <c r="H147" s="17"/>
      <c r="I147" s="160">
        <f t="shared" si="2"/>
        <v>0</v>
      </c>
      <c r="J147" s="21"/>
    </row>
    <row r="148" spans="2:10" x14ac:dyDescent="0.35">
      <c r="B148" s="12">
        <v>143</v>
      </c>
      <c r="C148" s="17"/>
      <c r="D148" s="17"/>
      <c r="E148" s="17"/>
      <c r="F148" s="165"/>
      <c r="G148" s="165"/>
      <c r="H148" s="17"/>
      <c r="I148" s="160">
        <f t="shared" si="2"/>
        <v>0</v>
      </c>
      <c r="J148" s="21"/>
    </row>
    <row r="149" spans="2:10" x14ac:dyDescent="0.35">
      <c r="B149" s="12">
        <v>144</v>
      </c>
      <c r="C149" s="17"/>
      <c r="D149" s="17"/>
      <c r="E149" s="17"/>
      <c r="F149" s="165"/>
      <c r="G149" s="165"/>
      <c r="H149" s="17"/>
      <c r="I149" s="160">
        <f t="shared" si="2"/>
        <v>0</v>
      </c>
      <c r="J149" s="21"/>
    </row>
    <row r="150" spans="2:10" x14ac:dyDescent="0.35">
      <c r="B150" s="12">
        <v>145</v>
      </c>
      <c r="C150" s="17"/>
      <c r="D150" s="17"/>
      <c r="E150" s="17"/>
      <c r="F150" s="165"/>
      <c r="G150" s="165"/>
      <c r="H150" s="17"/>
      <c r="I150" s="160">
        <f t="shared" si="2"/>
        <v>0</v>
      </c>
      <c r="J150" s="21"/>
    </row>
    <row r="151" spans="2:10" x14ac:dyDescent="0.35">
      <c r="B151" s="12">
        <v>146</v>
      </c>
      <c r="C151" s="17"/>
      <c r="D151" s="17"/>
      <c r="E151" s="17"/>
      <c r="F151" s="165"/>
      <c r="G151" s="165"/>
      <c r="H151" s="17"/>
      <c r="I151" s="160">
        <f t="shared" si="2"/>
        <v>0</v>
      </c>
      <c r="J151" s="21"/>
    </row>
    <row r="152" spans="2:10" x14ac:dyDescent="0.35">
      <c r="B152" s="12">
        <v>147</v>
      </c>
      <c r="C152" s="17"/>
      <c r="D152" s="17"/>
      <c r="E152" s="17"/>
      <c r="F152" s="165"/>
      <c r="G152" s="165"/>
      <c r="H152" s="17"/>
      <c r="I152" s="160">
        <f t="shared" si="2"/>
        <v>0</v>
      </c>
      <c r="J152" s="21"/>
    </row>
    <row r="153" spans="2:10" x14ac:dyDescent="0.35">
      <c r="B153" s="12">
        <v>148</v>
      </c>
      <c r="C153" s="17"/>
      <c r="D153" s="17"/>
      <c r="E153" s="17"/>
      <c r="F153" s="165"/>
      <c r="G153" s="165"/>
      <c r="H153" s="17"/>
      <c r="I153" s="160">
        <f t="shared" si="2"/>
        <v>0</v>
      </c>
      <c r="J153" s="21"/>
    </row>
    <row r="154" spans="2:10" x14ac:dyDescent="0.35">
      <c r="B154" s="12">
        <v>149</v>
      </c>
      <c r="C154" s="17"/>
      <c r="D154" s="17"/>
      <c r="E154" s="17"/>
      <c r="F154" s="165"/>
      <c r="G154" s="165"/>
      <c r="H154" s="17"/>
      <c r="I154" s="160">
        <f t="shared" si="2"/>
        <v>0</v>
      </c>
      <c r="J154" s="21"/>
    </row>
    <row r="155" spans="2:10" x14ac:dyDescent="0.35">
      <c r="B155" s="12">
        <v>150</v>
      </c>
      <c r="C155" s="17"/>
      <c r="D155" s="17"/>
      <c r="E155" s="17"/>
      <c r="F155" s="165"/>
      <c r="G155" s="165"/>
      <c r="H155" s="17"/>
      <c r="I155" s="160">
        <f t="shared" si="2"/>
        <v>0</v>
      </c>
      <c r="J155" s="21"/>
    </row>
    <row r="156" spans="2:10" x14ac:dyDescent="0.35">
      <c r="B156" s="12">
        <v>151</v>
      </c>
      <c r="C156" s="17"/>
      <c r="D156" s="17"/>
      <c r="E156" s="17"/>
      <c r="F156" s="165"/>
      <c r="G156" s="165"/>
      <c r="H156" s="17"/>
      <c r="I156" s="160">
        <f t="shared" si="2"/>
        <v>0</v>
      </c>
      <c r="J156" s="21"/>
    </row>
    <row r="157" spans="2:10" x14ac:dyDescent="0.35">
      <c r="B157" s="12">
        <v>152</v>
      </c>
      <c r="C157" s="17"/>
      <c r="D157" s="17"/>
      <c r="E157" s="17"/>
      <c r="F157" s="165"/>
      <c r="G157" s="165"/>
      <c r="H157" s="17"/>
      <c r="I157" s="160">
        <f t="shared" si="2"/>
        <v>0</v>
      </c>
      <c r="J157" s="21"/>
    </row>
    <row r="158" spans="2:10" x14ac:dyDescent="0.35">
      <c r="B158" s="12">
        <v>153</v>
      </c>
      <c r="C158" s="17"/>
      <c r="D158" s="17"/>
      <c r="E158" s="17"/>
      <c r="F158" s="165"/>
      <c r="G158" s="165"/>
      <c r="H158" s="17"/>
      <c r="I158" s="160">
        <f t="shared" si="2"/>
        <v>0</v>
      </c>
      <c r="J158" s="21"/>
    </row>
    <row r="159" spans="2:10" x14ac:dyDescent="0.35">
      <c r="B159" s="12">
        <v>154</v>
      </c>
      <c r="C159" s="17"/>
      <c r="D159" s="17"/>
      <c r="E159" s="17"/>
      <c r="F159" s="165"/>
      <c r="G159" s="165"/>
      <c r="H159" s="17"/>
      <c r="I159" s="160">
        <f t="shared" si="2"/>
        <v>0</v>
      </c>
      <c r="J159" s="21"/>
    </row>
    <row r="160" spans="2:10" x14ac:dyDescent="0.35">
      <c r="B160" s="12">
        <v>155</v>
      </c>
      <c r="C160" s="17"/>
      <c r="D160" s="17"/>
      <c r="E160" s="17"/>
      <c r="F160" s="165"/>
      <c r="G160" s="165"/>
      <c r="H160" s="17"/>
      <c r="I160" s="160">
        <f t="shared" si="2"/>
        <v>0</v>
      </c>
      <c r="J160" s="21"/>
    </row>
    <row r="161" spans="2:10" x14ac:dyDescent="0.35">
      <c r="B161" s="12">
        <v>156</v>
      </c>
      <c r="C161" s="17"/>
      <c r="D161" s="17"/>
      <c r="E161" s="17"/>
      <c r="F161" s="165"/>
      <c r="G161" s="165"/>
      <c r="H161" s="17"/>
      <c r="I161" s="160">
        <f t="shared" si="2"/>
        <v>0</v>
      </c>
      <c r="J161" s="21"/>
    </row>
    <row r="162" spans="2:10" x14ac:dyDescent="0.35">
      <c r="B162" s="12">
        <v>157</v>
      </c>
      <c r="C162" s="17"/>
      <c r="D162" s="17"/>
      <c r="E162" s="17"/>
      <c r="F162" s="165"/>
      <c r="G162" s="165"/>
      <c r="H162" s="17"/>
      <c r="I162" s="160">
        <f t="shared" si="2"/>
        <v>0</v>
      </c>
      <c r="J162" s="21"/>
    </row>
    <row r="163" spans="2:10" x14ac:dyDescent="0.35">
      <c r="B163" s="12">
        <v>158</v>
      </c>
      <c r="C163" s="17"/>
      <c r="D163" s="17"/>
      <c r="E163" s="17"/>
      <c r="F163" s="165"/>
      <c r="G163" s="165"/>
      <c r="H163" s="17"/>
      <c r="I163" s="160">
        <f t="shared" si="2"/>
        <v>0</v>
      </c>
      <c r="J163" s="21"/>
    </row>
    <row r="164" spans="2:10" x14ac:dyDescent="0.35">
      <c r="B164" s="12">
        <v>159</v>
      </c>
      <c r="C164" s="17"/>
      <c r="D164" s="17"/>
      <c r="E164" s="17"/>
      <c r="F164" s="165"/>
      <c r="G164" s="165"/>
      <c r="H164" s="17"/>
      <c r="I164" s="160">
        <f t="shared" si="2"/>
        <v>0</v>
      </c>
      <c r="J164" s="21"/>
    </row>
    <row r="165" spans="2:10" x14ac:dyDescent="0.35">
      <c r="B165" s="12">
        <v>160</v>
      </c>
      <c r="C165" s="17"/>
      <c r="D165" s="17"/>
      <c r="E165" s="17"/>
      <c r="F165" s="165"/>
      <c r="G165" s="165"/>
      <c r="H165" s="17"/>
      <c r="I165" s="160">
        <f t="shared" si="2"/>
        <v>0</v>
      </c>
      <c r="J165" s="21"/>
    </row>
    <row r="166" spans="2:10" x14ac:dyDescent="0.35">
      <c r="B166" s="12">
        <v>161</v>
      </c>
      <c r="C166" s="17"/>
      <c r="D166" s="17"/>
      <c r="E166" s="17"/>
      <c r="F166" s="165"/>
      <c r="G166" s="165"/>
      <c r="H166" s="17"/>
      <c r="I166" s="160">
        <f t="shared" si="2"/>
        <v>0</v>
      </c>
      <c r="J166" s="21"/>
    </row>
    <row r="167" spans="2:10" x14ac:dyDescent="0.35">
      <c r="B167" s="12">
        <v>162</v>
      </c>
      <c r="C167" s="17"/>
      <c r="D167" s="17"/>
      <c r="E167" s="17"/>
      <c r="F167" s="165"/>
      <c r="G167" s="165"/>
      <c r="H167" s="17"/>
      <c r="I167" s="160">
        <f t="shared" si="2"/>
        <v>0</v>
      </c>
      <c r="J167" s="21"/>
    </row>
    <row r="168" spans="2:10" x14ac:dyDescent="0.35">
      <c r="B168" s="12">
        <v>163</v>
      </c>
      <c r="C168" s="17"/>
      <c r="D168" s="17"/>
      <c r="E168" s="17"/>
      <c r="F168" s="165"/>
      <c r="G168" s="165"/>
      <c r="H168" s="17"/>
      <c r="I168" s="160">
        <f t="shared" si="2"/>
        <v>0</v>
      </c>
      <c r="J168" s="21"/>
    </row>
    <row r="169" spans="2:10" x14ac:dyDescent="0.35">
      <c r="B169" s="12">
        <v>164</v>
      </c>
      <c r="C169" s="17"/>
      <c r="D169" s="17"/>
      <c r="E169" s="17"/>
      <c r="F169" s="165"/>
      <c r="G169" s="165"/>
      <c r="H169" s="17"/>
      <c r="I169" s="160">
        <f t="shared" si="2"/>
        <v>0</v>
      </c>
      <c r="J169" s="21"/>
    </row>
    <row r="170" spans="2:10" x14ac:dyDescent="0.35">
      <c r="B170" s="12">
        <v>165</v>
      </c>
      <c r="C170" s="17"/>
      <c r="D170" s="17"/>
      <c r="E170" s="17"/>
      <c r="F170" s="165"/>
      <c r="G170" s="165"/>
      <c r="H170" s="17"/>
      <c r="I170" s="160">
        <f t="shared" si="2"/>
        <v>0</v>
      </c>
      <c r="J170" s="21"/>
    </row>
    <row r="171" spans="2:10" x14ac:dyDescent="0.35">
      <c r="B171" s="12">
        <v>166</v>
      </c>
      <c r="C171" s="17"/>
      <c r="D171" s="17"/>
      <c r="E171" s="17"/>
      <c r="F171" s="165"/>
      <c r="G171" s="165"/>
      <c r="H171" s="17"/>
      <c r="I171" s="160">
        <f t="shared" si="2"/>
        <v>0</v>
      </c>
      <c r="J171" s="21"/>
    </row>
    <row r="172" spans="2:10" x14ac:dyDescent="0.35">
      <c r="B172" s="12">
        <v>167</v>
      </c>
      <c r="C172" s="17"/>
      <c r="D172" s="17"/>
      <c r="E172" s="17"/>
      <c r="F172" s="165"/>
      <c r="G172" s="165"/>
      <c r="H172" s="17"/>
      <c r="I172" s="160">
        <f t="shared" si="2"/>
        <v>0</v>
      </c>
      <c r="J172" s="21"/>
    </row>
    <row r="173" spans="2:10" x14ac:dyDescent="0.35">
      <c r="B173" s="12">
        <v>168</v>
      </c>
      <c r="C173" s="17"/>
      <c r="D173" s="17"/>
      <c r="E173" s="17"/>
      <c r="F173" s="165"/>
      <c r="G173" s="165"/>
      <c r="H173" s="17"/>
      <c r="I173" s="160">
        <f t="shared" si="2"/>
        <v>0</v>
      </c>
      <c r="J173" s="21"/>
    </row>
    <row r="174" spans="2:10" x14ac:dyDescent="0.35">
      <c r="B174" s="12">
        <v>169</v>
      </c>
      <c r="C174" s="17"/>
      <c r="D174" s="17"/>
      <c r="E174" s="17"/>
      <c r="F174" s="165"/>
      <c r="G174" s="165"/>
      <c r="H174" s="17"/>
      <c r="I174" s="160">
        <f t="shared" si="2"/>
        <v>0</v>
      </c>
      <c r="J174" s="21"/>
    </row>
    <row r="175" spans="2:10" x14ac:dyDescent="0.35">
      <c r="B175" s="12">
        <v>170</v>
      </c>
      <c r="C175" s="17"/>
      <c r="D175" s="17"/>
      <c r="E175" s="17"/>
      <c r="F175" s="165"/>
      <c r="G175" s="165"/>
      <c r="H175" s="17"/>
      <c r="I175" s="160">
        <f t="shared" si="2"/>
        <v>0</v>
      </c>
      <c r="J175" s="21"/>
    </row>
    <row r="176" spans="2:10" x14ac:dyDescent="0.35">
      <c r="B176" s="12">
        <v>171</v>
      </c>
      <c r="C176" s="17"/>
      <c r="D176" s="17"/>
      <c r="E176" s="17"/>
      <c r="F176" s="165"/>
      <c r="G176" s="165"/>
      <c r="H176" s="17"/>
      <c r="I176" s="160">
        <f t="shared" si="2"/>
        <v>0</v>
      </c>
      <c r="J176" s="21"/>
    </row>
    <row r="177" spans="2:10" x14ac:dyDescent="0.35">
      <c r="B177" s="12">
        <v>172</v>
      </c>
      <c r="C177" s="17"/>
      <c r="D177" s="17"/>
      <c r="E177" s="17"/>
      <c r="F177" s="165"/>
      <c r="G177" s="165"/>
      <c r="H177" s="17"/>
      <c r="I177" s="160">
        <f t="shared" si="2"/>
        <v>0</v>
      </c>
      <c r="J177" s="21"/>
    </row>
    <row r="178" spans="2:10" x14ac:dyDescent="0.35">
      <c r="B178" s="12">
        <v>173</v>
      </c>
      <c r="C178" s="17"/>
      <c r="D178" s="17"/>
      <c r="E178" s="17"/>
      <c r="F178" s="165"/>
      <c r="G178" s="165"/>
      <c r="H178" s="17"/>
      <c r="I178" s="160">
        <f t="shared" si="2"/>
        <v>0</v>
      </c>
      <c r="J178" s="21"/>
    </row>
    <row r="179" spans="2:10" x14ac:dyDescent="0.35">
      <c r="B179" s="12">
        <v>174</v>
      </c>
      <c r="C179" s="17"/>
      <c r="D179" s="17"/>
      <c r="E179" s="17"/>
      <c r="F179" s="165"/>
      <c r="G179" s="165"/>
      <c r="H179" s="17"/>
      <c r="I179" s="160">
        <f t="shared" si="2"/>
        <v>0</v>
      </c>
      <c r="J179" s="21"/>
    </row>
    <row r="180" spans="2:10" x14ac:dyDescent="0.35">
      <c r="B180" s="12">
        <v>175</v>
      </c>
      <c r="C180" s="17"/>
      <c r="D180" s="17"/>
      <c r="E180" s="17"/>
      <c r="F180" s="165"/>
      <c r="G180" s="165"/>
      <c r="H180" s="17"/>
      <c r="I180" s="160">
        <f t="shared" si="2"/>
        <v>0</v>
      </c>
      <c r="J180" s="21"/>
    </row>
    <row r="181" spans="2:10" x14ac:dyDescent="0.35">
      <c r="B181" s="12">
        <v>176</v>
      </c>
      <c r="C181" s="17"/>
      <c r="D181" s="17"/>
      <c r="E181" s="17"/>
      <c r="F181" s="165"/>
      <c r="G181" s="165"/>
      <c r="H181" s="17"/>
      <c r="I181" s="160">
        <f t="shared" si="2"/>
        <v>0</v>
      </c>
      <c r="J181" s="21"/>
    </row>
    <row r="182" spans="2:10" x14ac:dyDescent="0.35">
      <c r="B182" s="12">
        <v>177</v>
      </c>
      <c r="C182" s="17"/>
      <c r="D182" s="17"/>
      <c r="E182" s="17"/>
      <c r="F182" s="165"/>
      <c r="G182" s="165"/>
      <c r="H182" s="17"/>
      <c r="I182" s="160">
        <f t="shared" si="2"/>
        <v>0</v>
      </c>
      <c r="J182" s="21"/>
    </row>
    <row r="183" spans="2:10" x14ac:dyDescent="0.35">
      <c r="B183" s="12">
        <v>178</v>
      </c>
      <c r="C183" s="17"/>
      <c r="D183" s="17"/>
      <c r="E183" s="17"/>
      <c r="F183" s="165"/>
      <c r="G183" s="165"/>
      <c r="H183" s="17"/>
      <c r="I183" s="160">
        <f t="shared" si="2"/>
        <v>0</v>
      </c>
      <c r="J183" s="21"/>
    </row>
    <row r="184" spans="2:10" x14ac:dyDescent="0.35">
      <c r="B184" s="12">
        <v>179</v>
      </c>
      <c r="C184" s="17"/>
      <c r="D184" s="17"/>
      <c r="E184" s="17"/>
      <c r="F184" s="165"/>
      <c r="G184" s="165"/>
      <c r="H184" s="17"/>
      <c r="I184" s="160">
        <f t="shared" si="2"/>
        <v>0</v>
      </c>
      <c r="J184" s="21"/>
    </row>
    <row r="185" spans="2:10" x14ac:dyDescent="0.35">
      <c r="B185" s="12">
        <v>180</v>
      </c>
      <c r="C185" s="17"/>
      <c r="D185" s="17"/>
      <c r="E185" s="17"/>
      <c r="F185" s="165"/>
      <c r="G185" s="165"/>
      <c r="H185" s="17"/>
      <c r="I185" s="160">
        <f t="shared" si="2"/>
        <v>0</v>
      </c>
      <c r="J185" s="21"/>
    </row>
    <row r="186" spans="2:10" x14ac:dyDescent="0.35">
      <c r="B186" s="12">
        <v>181</v>
      </c>
      <c r="C186" s="17"/>
      <c r="D186" s="17"/>
      <c r="E186" s="17"/>
      <c r="F186" s="165"/>
      <c r="G186" s="165"/>
      <c r="H186" s="17"/>
      <c r="I186" s="160">
        <f t="shared" si="2"/>
        <v>0</v>
      </c>
      <c r="J186" s="21"/>
    </row>
    <row r="187" spans="2:10" x14ac:dyDescent="0.35">
      <c r="B187" s="12">
        <v>182</v>
      </c>
      <c r="C187" s="17"/>
      <c r="D187" s="17"/>
      <c r="E187" s="17"/>
      <c r="F187" s="165"/>
      <c r="G187" s="165"/>
      <c r="H187" s="17"/>
      <c r="I187" s="160">
        <f t="shared" si="2"/>
        <v>0</v>
      </c>
      <c r="J187" s="21"/>
    </row>
    <row r="188" spans="2:10" x14ac:dyDescent="0.35">
      <c r="B188" s="12">
        <v>183</v>
      </c>
      <c r="C188" s="17"/>
      <c r="D188" s="17"/>
      <c r="E188" s="17"/>
      <c r="F188" s="165"/>
      <c r="G188" s="165"/>
      <c r="H188" s="17"/>
      <c r="I188" s="160">
        <f t="shared" si="2"/>
        <v>0</v>
      </c>
      <c r="J188" s="21"/>
    </row>
    <row r="189" spans="2:10" x14ac:dyDescent="0.35">
      <c r="B189" s="12">
        <v>184</v>
      </c>
      <c r="C189" s="17"/>
      <c r="D189" s="17"/>
      <c r="E189" s="17"/>
      <c r="F189" s="165"/>
      <c r="G189" s="165"/>
      <c r="H189" s="17"/>
      <c r="I189" s="160">
        <f t="shared" si="2"/>
        <v>0</v>
      </c>
      <c r="J189" s="21"/>
    </row>
    <row r="190" spans="2:10" x14ac:dyDescent="0.35">
      <c r="B190" s="12">
        <v>185</v>
      </c>
      <c r="C190" s="17"/>
      <c r="D190" s="17"/>
      <c r="E190" s="17"/>
      <c r="F190" s="165"/>
      <c r="G190" s="165"/>
      <c r="H190" s="17"/>
      <c r="I190" s="160">
        <f t="shared" si="2"/>
        <v>0</v>
      </c>
      <c r="J190" s="21"/>
    </row>
    <row r="191" spans="2:10" x14ac:dyDescent="0.35">
      <c r="B191" s="12">
        <v>186</v>
      </c>
      <c r="C191" s="17"/>
      <c r="D191" s="17"/>
      <c r="E191" s="17"/>
      <c r="F191" s="165"/>
      <c r="G191" s="165"/>
      <c r="H191" s="17"/>
      <c r="I191" s="160">
        <f t="shared" si="2"/>
        <v>0</v>
      </c>
      <c r="J191" s="21"/>
    </row>
    <row r="192" spans="2:10" x14ac:dyDescent="0.35">
      <c r="B192" s="12">
        <v>187</v>
      </c>
      <c r="C192" s="17"/>
      <c r="D192" s="17"/>
      <c r="E192" s="17"/>
      <c r="F192" s="165"/>
      <c r="G192" s="165"/>
      <c r="H192" s="17"/>
      <c r="I192" s="160">
        <f t="shared" si="2"/>
        <v>0</v>
      </c>
      <c r="J192" s="21"/>
    </row>
    <row r="193" spans="2:10" x14ac:dyDescent="0.35">
      <c r="B193" s="12">
        <v>188</v>
      </c>
      <c r="C193" s="17"/>
      <c r="D193" s="17"/>
      <c r="E193" s="17"/>
      <c r="F193" s="165"/>
      <c r="G193" s="165"/>
      <c r="H193" s="17"/>
      <c r="I193" s="160">
        <f t="shared" si="2"/>
        <v>0</v>
      </c>
      <c r="J193" s="21"/>
    </row>
    <row r="194" spans="2:10" x14ac:dyDescent="0.35">
      <c r="B194" s="12">
        <v>189</v>
      </c>
      <c r="C194" s="17"/>
      <c r="D194" s="17"/>
      <c r="E194" s="17"/>
      <c r="F194" s="165"/>
      <c r="G194" s="165"/>
      <c r="H194" s="17"/>
      <c r="I194" s="160">
        <f t="shared" si="2"/>
        <v>0</v>
      </c>
      <c r="J194" s="21"/>
    </row>
    <row r="195" spans="2:10" x14ac:dyDescent="0.35">
      <c r="B195" s="12">
        <v>190</v>
      </c>
      <c r="C195" s="17"/>
      <c r="D195" s="17"/>
      <c r="E195" s="17"/>
      <c r="F195" s="165"/>
      <c r="G195" s="165"/>
      <c r="H195" s="17"/>
      <c r="I195" s="160">
        <f t="shared" si="2"/>
        <v>0</v>
      </c>
      <c r="J195" s="21"/>
    </row>
    <row r="196" spans="2:10" x14ac:dyDescent="0.35">
      <c r="B196" s="12">
        <v>191</v>
      </c>
      <c r="C196" s="17"/>
      <c r="D196" s="17"/>
      <c r="E196" s="17"/>
      <c r="F196" s="165"/>
      <c r="G196" s="165"/>
      <c r="H196" s="17"/>
      <c r="I196" s="160">
        <f t="shared" si="2"/>
        <v>0</v>
      </c>
      <c r="J196" s="21"/>
    </row>
    <row r="197" spans="2:10" x14ac:dyDescent="0.35">
      <c r="B197" s="12">
        <v>192</v>
      </c>
      <c r="C197" s="17"/>
      <c r="D197" s="17"/>
      <c r="E197" s="17"/>
      <c r="F197" s="165"/>
      <c r="G197" s="165"/>
      <c r="H197" s="17"/>
      <c r="I197" s="160">
        <f t="shared" si="2"/>
        <v>0</v>
      </c>
      <c r="J197" s="21"/>
    </row>
    <row r="198" spans="2:10" x14ac:dyDescent="0.35">
      <c r="B198" s="12">
        <v>193</v>
      </c>
      <c r="C198" s="17"/>
      <c r="D198" s="17"/>
      <c r="E198" s="17"/>
      <c r="F198" s="165"/>
      <c r="G198" s="165"/>
      <c r="H198" s="17"/>
      <c r="I198" s="160">
        <f t="shared" si="2"/>
        <v>0</v>
      </c>
      <c r="J198" s="21"/>
    </row>
    <row r="199" spans="2:10" x14ac:dyDescent="0.35">
      <c r="B199" s="12">
        <v>194</v>
      </c>
      <c r="C199" s="17"/>
      <c r="D199" s="17"/>
      <c r="E199" s="17"/>
      <c r="F199" s="165"/>
      <c r="G199" s="165"/>
      <c r="H199" s="17"/>
      <c r="I199" s="160">
        <f t="shared" si="2"/>
        <v>0</v>
      </c>
      <c r="J199" s="21"/>
    </row>
    <row r="200" spans="2:10" x14ac:dyDescent="0.35">
      <c r="B200" s="12">
        <v>195</v>
      </c>
      <c r="C200" s="17"/>
      <c r="D200" s="17"/>
      <c r="E200" s="17"/>
      <c r="F200" s="165"/>
      <c r="G200" s="165"/>
      <c r="H200" s="17"/>
      <c r="I200" s="160">
        <f t="shared" si="2"/>
        <v>0</v>
      </c>
      <c r="J200" s="21"/>
    </row>
    <row r="201" spans="2:10" x14ac:dyDescent="0.35">
      <c r="B201" s="12">
        <v>196</v>
      </c>
      <c r="C201" s="17"/>
      <c r="D201" s="17"/>
      <c r="E201" s="17"/>
      <c r="F201" s="165"/>
      <c r="G201" s="165"/>
      <c r="H201" s="17"/>
      <c r="I201" s="160">
        <f t="shared" ref="I201:I264" si="3">G201*H201</f>
        <v>0</v>
      </c>
      <c r="J201" s="21"/>
    </row>
    <row r="202" spans="2:10" x14ac:dyDescent="0.35">
      <c r="B202" s="12">
        <v>197</v>
      </c>
      <c r="C202" s="17"/>
      <c r="D202" s="17"/>
      <c r="E202" s="17"/>
      <c r="F202" s="165"/>
      <c r="G202" s="165"/>
      <c r="H202" s="17"/>
      <c r="I202" s="160">
        <f t="shared" si="3"/>
        <v>0</v>
      </c>
      <c r="J202" s="21"/>
    </row>
    <row r="203" spans="2:10" x14ac:dyDescent="0.35">
      <c r="B203" s="12">
        <v>198</v>
      </c>
      <c r="C203" s="17"/>
      <c r="D203" s="17"/>
      <c r="E203" s="17"/>
      <c r="F203" s="165"/>
      <c r="G203" s="165"/>
      <c r="H203" s="17"/>
      <c r="I203" s="160">
        <f t="shared" si="3"/>
        <v>0</v>
      </c>
      <c r="J203" s="21"/>
    </row>
    <row r="204" spans="2:10" x14ac:dyDescent="0.35">
      <c r="B204" s="12">
        <v>199</v>
      </c>
      <c r="C204" s="17"/>
      <c r="D204" s="17"/>
      <c r="E204" s="17"/>
      <c r="F204" s="165"/>
      <c r="G204" s="165"/>
      <c r="H204" s="17"/>
      <c r="I204" s="160">
        <f t="shared" si="3"/>
        <v>0</v>
      </c>
      <c r="J204" s="21"/>
    </row>
    <row r="205" spans="2:10" x14ac:dyDescent="0.35">
      <c r="B205" s="12">
        <v>200</v>
      </c>
      <c r="C205" s="17"/>
      <c r="D205" s="17"/>
      <c r="E205" s="17"/>
      <c r="F205" s="165"/>
      <c r="G205" s="165"/>
      <c r="H205" s="17"/>
      <c r="I205" s="160">
        <f t="shared" si="3"/>
        <v>0</v>
      </c>
      <c r="J205" s="21"/>
    </row>
    <row r="206" spans="2:10" x14ac:dyDescent="0.35">
      <c r="B206" s="12">
        <v>201</v>
      </c>
      <c r="C206" s="17"/>
      <c r="D206" s="17"/>
      <c r="E206" s="17"/>
      <c r="F206" s="165"/>
      <c r="G206" s="165"/>
      <c r="H206" s="17"/>
      <c r="I206" s="160">
        <f t="shared" si="3"/>
        <v>0</v>
      </c>
      <c r="J206" s="21"/>
    </row>
    <row r="207" spans="2:10" x14ac:dyDescent="0.35">
      <c r="B207" s="12">
        <v>202</v>
      </c>
      <c r="C207" s="17"/>
      <c r="D207" s="17"/>
      <c r="E207" s="17"/>
      <c r="F207" s="165"/>
      <c r="G207" s="165"/>
      <c r="H207" s="17"/>
      <c r="I207" s="160">
        <f t="shared" si="3"/>
        <v>0</v>
      </c>
      <c r="J207" s="21"/>
    </row>
    <row r="208" spans="2:10" x14ac:dyDescent="0.35">
      <c r="B208" s="12">
        <v>203</v>
      </c>
      <c r="C208" s="17"/>
      <c r="D208" s="17"/>
      <c r="E208" s="17"/>
      <c r="F208" s="165"/>
      <c r="G208" s="165"/>
      <c r="H208" s="17"/>
      <c r="I208" s="160">
        <f t="shared" si="3"/>
        <v>0</v>
      </c>
      <c r="J208" s="21"/>
    </row>
    <row r="209" spans="2:10" x14ac:dyDescent="0.35">
      <c r="B209" s="12">
        <v>204</v>
      </c>
      <c r="C209" s="17"/>
      <c r="D209" s="17"/>
      <c r="E209" s="17"/>
      <c r="F209" s="165"/>
      <c r="G209" s="165"/>
      <c r="H209" s="17"/>
      <c r="I209" s="160">
        <f t="shared" si="3"/>
        <v>0</v>
      </c>
      <c r="J209" s="21"/>
    </row>
    <row r="210" spans="2:10" x14ac:dyDescent="0.35">
      <c r="B210" s="12">
        <v>205</v>
      </c>
      <c r="C210" s="17"/>
      <c r="D210" s="17"/>
      <c r="E210" s="17"/>
      <c r="F210" s="165"/>
      <c r="G210" s="165"/>
      <c r="H210" s="17"/>
      <c r="I210" s="160">
        <f t="shared" si="3"/>
        <v>0</v>
      </c>
      <c r="J210" s="21"/>
    </row>
    <row r="211" spans="2:10" x14ac:dyDescent="0.35">
      <c r="B211" s="12">
        <v>206</v>
      </c>
      <c r="C211" s="17"/>
      <c r="D211" s="17"/>
      <c r="E211" s="17"/>
      <c r="F211" s="165"/>
      <c r="G211" s="165"/>
      <c r="H211" s="17"/>
      <c r="I211" s="160">
        <f t="shared" si="3"/>
        <v>0</v>
      </c>
      <c r="J211" s="21"/>
    </row>
    <row r="212" spans="2:10" x14ac:dyDescent="0.35">
      <c r="B212" s="12">
        <v>207</v>
      </c>
      <c r="C212" s="17"/>
      <c r="D212" s="17"/>
      <c r="E212" s="17"/>
      <c r="F212" s="165"/>
      <c r="G212" s="165"/>
      <c r="H212" s="17"/>
      <c r="I212" s="160">
        <f t="shared" si="3"/>
        <v>0</v>
      </c>
      <c r="J212" s="21"/>
    </row>
    <row r="213" spans="2:10" x14ac:dyDescent="0.35">
      <c r="B213" s="12">
        <v>208</v>
      </c>
      <c r="C213" s="17"/>
      <c r="D213" s="17"/>
      <c r="E213" s="17"/>
      <c r="F213" s="165"/>
      <c r="G213" s="165"/>
      <c r="H213" s="17"/>
      <c r="I213" s="160">
        <f t="shared" si="3"/>
        <v>0</v>
      </c>
      <c r="J213" s="21"/>
    </row>
    <row r="214" spans="2:10" x14ac:dyDescent="0.35">
      <c r="B214" s="12">
        <v>209</v>
      </c>
      <c r="C214" s="17"/>
      <c r="D214" s="17"/>
      <c r="E214" s="17"/>
      <c r="F214" s="165"/>
      <c r="G214" s="165"/>
      <c r="H214" s="17"/>
      <c r="I214" s="160">
        <f t="shared" si="3"/>
        <v>0</v>
      </c>
      <c r="J214" s="21"/>
    </row>
    <row r="215" spans="2:10" x14ac:dyDescent="0.35">
      <c r="B215" s="12">
        <v>210</v>
      </c>
      <c r="C215" s="17"/>
      <c r="D215" s="17"/>
      <c r="E215" s="17"/>
      <c r="F215" s="165"/>
      <c r="G215" s="165"/>
      <c r="H215" s="17"/>
      <c r="I215" s="160">
        <f t="shared" si="3"/>
        <v>0</v>
      </c>
      <c r="J215" s="21"/>
    </row>
    <row r="216" spans="2:10" x14ac:dyDescent="0.35">
      <c r="B216" s="12">
        <v>211</v>
      </c>
      <c r="C216" s="17"/>
      <c r="D216" s="17"/>
      <c r="E216" s="17"/>
      <c r="F216" s="165"/>
      <c r="G216" s="165"/>
      <c r="H216" s="17"/>
      <c r="I216" s="160">
        <f t="shared" si="3"/>
        <v>0</v>
      </c>
      <c r="J216" s="21"/>
    </row>
    <row r="217" spans="2:10" x14ac:dyDescent="0.35">
      <c r="B217" s="12">
        <v>212</v>
      </c>
      <c r="C217" s="17"/>
      <c r="D217" s="17"/>
      <c r="E217" s="17"/>
      <c r="F217" s="165"/>
      <c r="G217" s="165"/>
      <c r="H217" s="17"/>
      <c r="I217" s="160">
        <f t="shared" si="3"/>
        <v>0</v>
      </c>
      <c r="J217" s="21"/>
    </row>
    <row r="218" spans="2:10" x14ac:dyDescent="0.35">
      <c r="B218" s="12">
        <v>213</v>
      </c>
      <c r="C218" s="17"/>
      <c r="D218" s="17"/>
      <c r="E218" s="17"/>
      <c r="F218" s="165"/>
      <c r="G218" s="165"/>
      <c r="H218" s="17"/>
      <c r="I218" s="160">
        <f t="shared" si="3"/>
        <v>0</v>
      </c>
      <c r="J218" s="21"/>
    </row>
    <row r="219" spans="2:10" x14ac:dyDescent="0.35">
      <c r="B219" s="12">
        <v>214</v>
      </c>
      <c r="C219" s="17"/>
      <c r="D219" s="17"/>
      <c r="E219" s="17"/>
      <c r="F219" s="165"/>
      <c r="G219" s="165"/>
      <c r="H219" s="17"/>
      <c r="I219" s="160">
        <f t="shared" si="3"/>
        <v>0</v>
      </c>
      <c r="J219" s="21"/>
    </row>
    <row r="220" spans="2:10" x14ac:dyDescent="0.35">
      <c r="B220" s="12">
        <v>215</v>
      </c>
      <c r="C220" s="17"/>
      <c r="D220" s="17"/>
      <c r="E220" s="17"/>
      <c r="F220" s="165"/>
      <c r="G220" s="165"/>
      <c r="H220" s="17"/>
      <c r="I220" s="160">
        <f t="shared" si="3"/>
        <v>0</v>
      </c>
      <c r="J220" s="21"/>
    </row>
    <row r="221" spans="2:10" x14ac:dyDescent="0.35">
      <c r="B221" s="12">
        <v>216</v>
      </c>
      <c r="C221" s="17"/>
      <c r="D221" s="17"/>
      <c r="E221" s="17"/>
      <c r="F221" s="165"/>
      <c r="G221" s="165"/>
      <c r="H221" s="17"/>
      <c r="I221" s="160">
        <f t="shared" si="3"/>
        <v>0</v>
      </c>
      <c r="J221" s="21"/>
    </row>
    <row r="222" spans="2:10" x14ac:dyDescent="0.35">
      <c r="B222" s="12">
        <v>217</v>
      </c>
      <c r="C222" s="17"/>
      <c r="D222" s="17"/>
      <c r="E222" s="17"/>
      <c r="F222" s="165"/>
      <c r="G222" s="165"/>
      <c r="H222" s="17"/>
      <c r="I222" s="160">
        <f t="shared" si="3"/>
        <v>0</v>
      </c>
      <c r="J222" s="21"/>
    </row>
    <row r="223" spans="2:10" x14ac:dyDescent="0.35">
      <c r="B223" s="12">
        <v>218</v>
      </c>
      <c r="C223" s="17"/>
      <c r="D223" s="17"/>
      <c r="E223" s="17"/>
      <c r="F223" s="165"/>
      <c r="G223" s="165"/>
      <c r="H223" s="17"/>
      <c r="I223" s="160">
        <f t="shared" si="3"/>
        <v>0</v>
      </c>
      <c r="J223" s="21"/>
    </row>
    <row r="224" spans="2:10" x14ac:dyDescent="0.35">
      <c r="B224" s="12">
        <v>219</v>
      </c>
      <c r="C224" s="17"/>
      <c r="D224" s="17"/>
      <c r="E224" s="17"/>
      <c r="F224" s="165"/>
      <c r="G224" s="165"/>
      <c r="H224" s="17"/>
      <c r="I224" s="160">
        <f t="shared" si="3"/>
        <v>0</v>
      </c>
      <c r="J224" s="21"/>
    </row>
    <row r="225" spans="2:10" x14ac:dyDescent="0.35">
      <c r="B225" s="12">
        <v>220</v>
      </c>
      <c r="C225" s="17"/>
      <c r="D225" s="17"/>
      <c r="E225" s="17"/>
      <c r="F225" s="165"/>
      <c r="G225" s="165"/>
      <c r="H225" s="17"/>
      <c r="I225" s="160">
        <f t="shared" si="3"/>
        <v>0</v>
      </c>
      <c r="J225" s="21"/>
    </row>
    <row r="226" spans="2:10" x14ac:dyDescent="0.35">
      <c r="B226" s="12">
        <v>221</v>
      </c>
      <c r="C226" s="17"/>
      <c r="D226" s="17"/>
      <c r="E226" s="17"/>
      <c r="F226" s="165"/>
      <c r="G226" s="165"/>
      <c r="H226" s="17"/>
      <c r="I226" s="160">
        <f t="shared" si="3"/>
        <v>0</v>
      </c>
      <c r="J226" s="21"/>
    </row>
    <row r="227" spans="2:10" x14ac:dyDescent="0.35">
      <c r="B227" s="12">
        <v>222</v>
      </c>
      <c r="C227" s="17"/>
      <c r="D227" s="17"/>
      <c r="E227" s="17"/>
      <c r="F227" s="165"/>
      <c r="G227" s="165"/>
      <c r="H227" s="17"/>
      <c r="I227" s="160">
        <f t="shared" si="3"/>
        <v>0</v>
      </c>
      <c r="J227" s="21"/>
    </row>
    <row r="228" spans="2:10" x14ac:dyDescent="0.35">
      <c r="B228" s="12">
        <v>223</v>
      </c>
      <c r="C228" s="17"/>
      <c r="D228" s="17"/>
      <c r="E228" s="17"/>
      <c r="F228" s="165"/>
      <c r="G228" s="165"/>
      <c r="H228" s="17"/>
      <c r="I228" s="160">
        <f t="shared" si="3"/>
        <v>0</v>
      </c>
      <c r="J228" s="21"/>
    </row>
    <row r="229" spans="2:10" x14ac:dyDescent="0.35">
      <c r="B229" s="12">
        <v>224</v>
      </c>
      <c r="C229" s="17"/>
      <c r="D229" s="17"/>
      <c r="E229" s="17"/>
      <c r="F229" s="165"/>
      <c r="G229" s="165"/>
      <c r="H229" s="17"/>
      <c r="I229" s="160">
        <f t="shared" si="3"/>
        <v>0</v>
      </c>
      <c r="J229" s="21"/>
    </row>
    <row r="230" spans="2:10" x14ac:dyDescent="0.35">
      <c r="B230" s="12">
        <v>225</v>
      </c>
      <c r="C230" s="17"/>
      <c r="D230" s="17"/>
      <c r="E230" s="17"/>
      <c r="F230" s="165"/>
      <c r="G230" s="165"/>
      <c r="H230" s="17"/>
      <c r="I230" s="160">
        <f t="shared" si="3"/>
        <v>0</v>
      </c>
      <c r="J230" s="21"/>
    </row>
    <row r="231" spans="2:10" x14ac:dyDescent="0.35">
      <c r="B231" s="12">
        <v>226</v>
      </c>
      <c r="C231" s="17"/>
      <c r="D231" s="17"/>
      <c r="E231" s="17"/>
      <c r="F231" s="165"/>
      <c r="G231" s="165"/>
      <c r="H231" s="17"/>
      <c r="I231" s="160">
        <f t="shared" si="3"/>
        <v>0</v>
      </c>
      <c r="J231" s="21"/>
    </row>
    <row r="232" spans="2:10" x14ac:dyDescent="0.35">
      <c r="B232" s="12">
        <v>227</v>
      </c>
      <c r="C232" s="17"/>
      <c r="D232" s="17"/>
      <c r="E232" s="17"/>
      <c r="F232" s="165"/>
      <c r="G232" s="165"/>
      <c r="H232" s="17"/>
      <c r="I232" s="160">
        <f t="shared" si="3"/>
        <v>0</v>
      </c>
      <c r="J232" s="21"/>
    </row>
    <row r="233" spans="2:10" x14ac:dyDescent="0.35">
      <c r="B233" s="12">
        <v>228</v>
      </c>
      <c r="C233" s="17"/>
      <c r="D233" s="17"/>
      <c r="E233" s="17"/>
      <c r="F233" s="165"/>
      <c r="G233" s="165"/>
      <c r="H233" s="17"/>
      <c r="I233" s="160">
        <f t="shared" si="3"/>
        <v>0</v>
      </c>
      <c r="J233" s="21"/>
    </row>
    <row r="234" spans="2:10" x14ac:dyDescent="0.35">
      <c r="B234" s="12">
        <v>229</v>
      </c>
      <c r="C234" s="17"/>
      <c r="D234" s="17"/>
      <c r="E234" s="17"/>
      <c r="F234" s="165"/>
      <c r="G234" s="165"/>
      <c r="H234" s="17"/>
      <c r="I234" s="160">
        <f t="shared" si="3"/>
        <v>0</v>
      </c>
      <c r="J234" s="21"/>
    </row>
    <row r="235" spans="2:10" x14ac:dyDescent="0.35">
      <c r="B235" s="12">
        <v>230</v>
      </c>
      <c r="C235" s="17"/>
      <c r="D235" s="17"/>
      <c r="E235" s="17"/>
      <c r="F235" s="165"/>
      <c r="G235" s="165"/>
      <c r="H235" s="17"/>
      <c r="I235" s="160">
        <f t="shared" si="3"/>
        <v>0</v>
      </c>
      <c r="J235" s="21"/>
    </row>
    <row r="236" spans="2:10" x14ac:dyDescent="0.35">
      <c r="B236" s="12">
        <v>231</v>
      </c>
      <c r="C236" s="17"/>
      <c r="D236" s="17"/>
      <c r="E236" s="17"/>
      <c r="F236" s="165"/>
      <c r="G236" s="165"/>
      <c r="H236" s="17"/>
      <c r="I236" s="160">
        <f t="shared" si="3"/>
        <v>0</v>
      </c>
      <c r="J236" s="21"/>
    </row>
    <row r="237" spans="2:10" x14ac:dyDescent="0.35">
      <c r="B237" s="12">
        <v>232</v>
      </c>
      <c r="C237" s="17"/>
      <c r="D237" s="17"/>
      <c r="E237" s="17"/>
      <c r="F237" s="165"/>
      <c r="G237" s="165"/>
      <c r="H237" s="17"/>
      <c r="I237" s="160">
        <f t="shared" si="3"/>
        <v>0</v>
      </c>
      <c r="J237" s="21"/>
    </row>
    <row r="238" spans="2:10" x14ac:dyDescent="0.35">
      <c r="B238" s="12">
        <v>233</v>
      </c>
      <c r="C238" s="17"/>
      <c r="D238" s="17"/>
      <c r="E238" s="17"/>
      <c r="F238" s="165"/>
      <c r="G238" s="165"/>
      <c r="H238" s="17"/>
      <c r="I238" s="160">
        <f t="shared" si="3"/>
        <v>0</v>
      </c>
      <c r="J238" s="21"/>
    </row>
    <row r="239" spans="2:10" x14ac:dyDescent="0.35">
      <c r="B239" s="12">
        <v>234</v>
      </c>
      <c r="C239" s="17"/>
      <c r="D239" s="17"/>
      <c r="E239" s="17"/>
      <c r="F239" s="165"/>
      <c r="G239" s="165"/>
      <c r="H239" s="17"/>
      <c r="I239" s="160">
        <f t="shared" si="3"/>
        <v>0</v>
      </c>
      <c r="J239" s="21"/>
    </row>
    <row r="240" spans="2:10" x14ac:dyDescent="0.35">
      <c r="B240" s="12">
        <v>235</v>
      </c>
      <c r="C240" s="17"/>
      <c r="D240" s="17"/>
      <c r="E240" s="17"/>
      <c r="F240" s="165"/>
      <c r="G240" s="165"/>
      <c r="H240" s="17"/>
      <c r="I240" s="160">
        <f t="shared" si="3"/>
        <v>0</v>
      </c>
      <c r="J240" s="21"/>
    </row>
    <row r="241" spans="2:10" x14ac:dyDescent="0.35">
      <c r="B241" s="12">
        <v>236</v>
      </c>
      <c r="C241" s="17"/>
      <c r="D241" s="17"/>
      <c r="E241" s="17"/>
      <c r="F241" s="165"/>
      <c r="G241" s="165"/>
      <c r="H241" s="17"/>
      <c r="I241" s="160">
        <f t="shared" si="3"/>
        <v>0</v>
      </c>
      <c r="J241" s="21"/>
    </row>
    <row r="242" spans="2:10" x14ac:dyDescent="0.35">
      <c r="B242" s="12">
        <v>237</v>
      </c>
      <c r="C242" s="17"/>
      <c r="D242" s="17"/>
      <c r="E242" s="17"/>
      <c r="F242" s="165"/>
      <c r="G242" s="165"/>
      <c r="H242" s="17"/>
      <c r="I242" s="160">
        <f t="shared" si="3"/>
        <v>0</v>
      </c>
      <c r="J242" s="21"/>
    </row>
    <row r="243" spans="2:10" x14ac:dyDescent="0.35">
      <c r="B243" s="12">
        <v>238</v>
      </c>
      <c r="C243" s="17"/>
      <c r="D243" s="17"/>
      <c r="E243" s="17"/>
      <c r="F243" s="165"/>
      <c r="G243" s="165"/>
      <c r="H243" s="17"/>
      <c r="I243" s="160">
        <f t="shared" si="3"/>
        <v>0</v>
      </c>
      <c r="J243" s="21"/>
    </row>
    <row r="244" spans="2:10" x14ac:dyDescent="0.35">
      <c r="B244" s="12">
        <v>239</v>
      </c>
      <c r="C244" s="17"/>
      <c r="D244" s="17"/>
      <c r="E244" s="17"/>
      <c r="F244" s="165"/>
      <c r="G244" s="165"/>
      <c r="H244" s="17"/>
      <c r="I244" s="160">
        <f t="shared" si="3"/>
        <v>0</v>
      </c>
      <c r="J244" s="21"/>
    </row>
    <row r="245" spans="2:10" x14ac:dyDescent="0.35">
      <c r="B245" s="12">
        <v>240</v>
      </c>
      <c r="C245" s="17"/>
      <c r="D245" s="17"/>
      <c r="E245" s="17"/>
      <c r="F245" s="165"/>
      <c r="G245" s="165"/>
      <c r="H245" s="17"/>
      <c r="I245" s="160">
        <f t="shared" si="3"/>
        <v>0</v>
      </c>
      <c r="J245" s="21"/>
    </row>
    <row r="246" spans="2:10" x14ac:dyDescent="0.35">
      <c r="B246" s="12">
        <v>241</v>
      </c>
      <c r="C246" s="17"/>
      <c r="D246" s="17"/>
      <c r="E246" s="17"/>
      <c r="F246" s="165"/>
      <c r="G246" s="165"/>
      <c r="H246" s="17"/>
      <c r="I246" s="160">
        <f t="shared" si="3"/>
        <v>0</v>
      </c>
      <c r="J246" s="21"/>
    </row>
    <row r="247" spans="2:10" x14ac:dyDescent="0.35">
      <c r="B247" s="12">
        <v>242</v>
      </c>
      <c r="C247" s="17"/>
      <c r="D247" s="17"/>
      <c r="E247" s="17"/>
      <c r="F247" s="165"/>
      <c r="G247" s="165"/>
      <c r="H247" s="17"/>
      <c r="I247" s="160">
        <f t="shared" si="3"/>
        <v>0</v>
      </c>
      <c r="J247" s="21"/>
    </row>
    <row r="248" spans="2:10" x14ac:dyDescent="0.35">
      <c r="B248" s="12">
        <v>243</v>
      </c>
      <c r="C248" s="17"/>
      <c r="D248" s="17"/>
      <c r="E248" s="17"/>
      <c r="F248" s="165"/>
      <c r="G248" s="165"/>
      <c r="H248" s="17"/>
      <c r="I248" s="160">
        <f t="shared" si="3"/>
        <v>0</v>
      </c>
      <c r="J248" s="21"/>
    </row>
    <row r="249" spans="2:10" x14ac:dyDescent="0.35">
      <c r="B249" s="12">
        <v>244</v>
      </c>
      <c r="C249" s="17"/>
      <c r="D249" s="17"/>
      <c r="E249" s="17"/>
      <c r="F249" s="165"/>
      <c r="G249" s="165"/>
      <c r="H249" s="17"/>
      <c r="I249" s="160">
        <f t="shared" si="3"/>
        <v>0</v>
      </c>
      <c r="J249" s="21"/>
    </row>
    <row r="250" spans="2:10" x14ac:dyDescent="0.35">
      <c r="B250" s="12">
        <v>245</v>
      </c>
      <c r="C250" s="17"/>
      <c r="D250" s="17"/>
      <c r="E250" s="17"/>
      <c r="F250" s="165"/>
      <c r="G250" s="165"/>
      <c r="H250" s="17"/>
      <c r="I250" s="160">
        <f t="shared" si="3"/>
        <v>0</v>
      </c>
      <c r="J250" s="21"/>
    </row>
    <row r="251" spans="2:10" x14ac:dyDescent="0.35">
      <c r="B251" s="12">
        <v>246</v>
      </c>
      <c r="C251" s="17"/>
      <c r="D251" s="17"/>
      <c r="E251" s="17"/>
      <c r="F251" s="165"/>
      <c r="G251" s="165"/>
      <c r="H251" s="17"/>
      <c r="I251" s="160">
        <f t="shared" si="3"/>
        <v>0</v>
      </c>
      <c r="J251" s="21"/>
    </row>
    <row r="252" spans="2:10" x14ac:dyDescent="0.35">
      <c r="B252" s="12">
        <v>247</v>
      </c>
      <c r="C252" s="17"/>
      <c r="D252" s="17"/>
      <c r="E252" s="17"/>
      <c r="F252" s="165"/>
      <c r="G252" s="165"/>
      <c r="H252" s="17"/>
      <c r="I252" s="160">
        <f t="shared" si="3"/>
        <v>0</v>
      </c>
      <c r="J252" s="21"/>
    </row>
    <row r="253" spans="2:10" x14ac:dyDescent="0.35">
      <c r="B253" s="12">
        <v>248</v>
      </c>
      <c r="C253" s="17"/>
      <c r="D253" s="17"/>
      <c r="E253" s="17"/>
      <c r="F253" s="165"/>
      <c r="G253" s="165"/>
      <c r="H253" s="17"/>
      <c r="I253" s="160">
        <f t="shared" si="3"/>
        <v>0</v>
      </c>
      <c r="J253" s="21"/>
    </row>
    <row r="254" spans="2:10" x14ac:dyDescent="0.35">
      <c r="B254" s="12">
        <v>249</v>
      </c>
      <c r="C254" s="17"/>
      <c r="D254" s="17"/>
      <c r="E254" s="17"/>
      <c r="F254" s="165"/>
      <c r="G254" s="165"/>
      <c r="H254" s="17"/>
      <c r="I254" s="160">
        <f t="shared" si="3"/>
        <v>0</v>
      </c>
      <c r="J254" s="21"/>
    </row>
    <row r="255" spans="2:10" x14ac:dyDescent="0.35">
      <c r="B255" s="12">
        <v>250</v>
      </c>
      <c r="C255" s="17"/>
      <c r="D255" s="17"/>
      <c r="E255" s="17"/>
      <c r="F255" s="165"/>
      <c r="G255" s="165"/>
      <c r="H255" s="17"/>
      <c r="I255" s="160">
        <f t="shared" si="3"/>
        <v>0</v>
      </c>
      <c r="J255" s="21"/>
    </row>
    <row r="256" spans="2:10" x14ac:dyDescent="0.35">
      <c r="B256" s="12">
        <v>251</v>
      </c>
      <c r="C256" s="17"/>
      <c r="D256" s="17"/>
      <c r="E256" s="17"/>
      <c r="F256" s="165"/>
      <c r="G256" s="165"/>
      <c r="H256" s="17"/>
      <c r="I256" s="160">
        <f t="shared" si="3"/>
        <v>0</v>
      </c>
      <c r="J256" s="21"/>
    </row>
    <row r="257" spans="2:10" x14ac:dyDescent="0.35">
      <c r="B257" s="12">
        <v>252</v>
      </c>
      <c r="C257" s="17"/>
      <c r="D257" s="17"/>
      <c r="E257" s="17"/>
      <c r="F257" s="165"/>
      <c r="G257" s="165"/>
      <c r="H257" s="17"/>
      <c r="I257" s="160">
        <f t="shared" si="3"/>
        <v>0</v>
      </c>
      <c r="J257" s="21"/>
    </row>
    <row r="258" spans="2:10" x14ac:dyDescent="0.35">
      <c r="B258" s="12">
        <v>253</v>
      </c>
      <c r="C258" s="17"/>
      <c r="D258" s="17"/>
      <c r="E258" s="17"/>
      <c r="F258" s="165"/>
      <c r="G258" s="165"/>
      <c r="H258" s="17"/>
      <c r="I258" s="160">
        <f t="shared" si="3"/>
        <v>0</v>
      </c>
      <c r="J258" s="21"/>
    </row>
    <row r="259" spans="2:10" x14ac:dyDescent="0.35">
      <c r="B259" s="12">
        <v>254</v>
      </c>
      <c r="C259" s="17"/>
      <c r="D259" s="17"/>
      <c r="E259" s="17"/>
      <c r="F259" s="165"/>
      <c r="G259" s="165"/>
      <c r="H259" s="17"/>
      <c r="I259" s="160">
        <f t="shared" si="3"/>
        <v>0</v>
      </c>
      <c r="J259" s="21"/>
    </row>
    <row r="260" spans="2:10" x14ac:dyDescent="0.35">
      <c r="B260" s="12">
        <v>255</v>
      </c>
      <c r="C260" s="17"/>
      <c r="D260" s="17"/>
      <c r="E260" s="17"/>
      <c r="F260" s="165"/>
      <c r="G260" s="165"/>
      <c r="H260" s="17"/>
      <c r="I260" s="160">
        <f t="shared" si="3"/>
        <v>0</v>
      </c>
      <c r="J260" s="21"/>
    </row>
    <row r="261" spans="2:10" x14ac:dyDescent="0.35">
      <c r="B261" s="12">
        <v>256</v>
      </c>
      <c r="C261" s="17"/>
      <c r="D261" s="17"/>
      <c r="E261" s="17"/>
      <c r="F261" s="165"/>
      <c r="G261" s="165"/>
      <c r="H261" s="17"/>
      <c r="I261" s="160">
        <f t="shared" si="3"/>
        <v>0</v>
      </c>
      <c r="J261" s="21"/>
    </row>
    <row r="262" spans="2:10" x14ac:dyDescent="0.35">
      <c r="B262" s="12">
        <v>257</v>
      </c>
      <c r="C262" s="17"/>
      <c r="D262" s="17"/>
      <c r="E262" s="17"/>
      <c r="F262" s="165"/>
      <c r="G262" s="165"/>
      <c r="H262" s="17"/>
      <c r="I262" s="160">
        <f t="shared" si="3"/>
        <v>0</v>
      </c>
      <c r="J262" s="21"/>
    </row>
    <row r="263" spans="2:10" x14ac:dyDescent="0.35">
      <c r="B263" s="12">
        <v>258</v>
      </c>
      <c r="C263" s="17"/>
      <c r="D263" s="17"/>
      <c r="E263" s="17"/>
      <c r="F263" s="165"/>
      <c r="G263" s="165"/>
      <c r="H263" s="17"/>
      <c r="I263" s="160">
        <f t="shared" si="3"/>
        <v>0</v>
      </c>
      <c r="J263" s="21"/>
    </row>
    <row r="264" spans="2:10" x14ac:dyDescent="0.35">
      <c r="B264" s="12">
        <v>259</v>
      </c>
      <c r="C264" s="17"/>
      <c r="D264" s="17"/>
      <c r="E264" s="17"/>
      <c r="F264" s="165"/>
      <c r="G264" s="165"/>
      <c r="H264" s="17"/>
      <c r="I264" s="160">
        <f t="shared" si="3"/>
        <v>0</v>
      </c>
      <c r="J264" s="21"/>
    </row>
    <row r="265" spans="2:10" x14ac:dyDescent="0.35">
      <c r="B265" s="12">
        <v>260</v>
      </c>
      <c r="C265" s="17"/>
      <c r="D265" s="17"/>
      <c r="E265" s="17"/>
      <c r="F265" s="165"/>
      <c r="G265" s="165"/>
      <c r="H265" s="17"/>
      <c r="I265" s="160">
        <f t="shared" ref="I265:I328" si="4">G265*H265</f>
        <v>0</v>
      </c>
      <c r="J265" s="21"/>
    </row>
    <row r="266" spans="2:10" x14ac:dyDescent="0.35">
      <c r="B266" s="12">
        <v>261</v>
      </c>
      <c r="C266" s="17"/>
      <c r="D266" s="17"/>
      <c r="E266" s="17"/>
      <c r="F266" s="165"/>
      <c r="G266" s="165"/>
      <c r="H266" s="17"/>
      <c r="I266" s="160">
        <f t="shared" si="4"/>
        <v>0</v>
      </c>
      <c r="J266" s="21"/>
    </row>
    <row r="267" spans="2:10" x14ac:dyDescent="0.35">
      <c r="B267" s="12">
        <v>262</v>
      </c>
      <c r="C267" s="17"/>
      <c r="D267" s="17"/>
      <c r="E267" s="17"/>
      <c r="F267" s="165"/>
      <c r="G267" s="165"/>
      <c r="H267" s="17"/>
      <c r="I267" s="160">
        <f t="shared" si="4"/>
        <v>0</v>
      </c>
      <c r="J267" s="21"/>
    </row>
    <row r="268" spans="2:10" x14ac:dyDescent="0.35">
      <c r="B268" s="12">
        <v>263</v>
      </c>
      <c r="C268" s="17"/>
      <c r="D268" s="17"/>
      <c r="E268" s="17"/>
      <c r="F268" s="165"/>
      <c r="G268" s="165"/>
      <c r="H268" s="17"/>
      <c r="I268" s="160">
        <f t="shared" si="4"/>
        <v>0</v>
      </c>
      <c r="J268" s="21"/>
    </row>
    <row r="269" spans="2:10" x14ac:dyDescent="0.35">
      <c r="B269" s="12">
        <v>264</v>
      </c>
      <c r="C269" s="17"/>
      <c r="D269" s="17"/>
      <c r="E269" s="17"/>
      <c r="F269" s="165"/>
      <c r="G269" s="165"/>
      <c r="H269" s="17"/>
      <c r="I269" s="160">
        <f t="shared" si="4"/>
        <v>0</v>
      </c>
      <c r="J269" s="21"/>
    </row>
    <row r="270" spans="2:10" x14ac:dyDescent="0.35">
      <c r="B270" s="12">
        <v>265</v>
      </c>
      <c r="C270" s="17"/>
      <c r="D270" s="17"/>
      <c r="E270" s="17"/>
      <c r="F270" s="165"/>
      <c r="G270" s="165"/>
      <c r="H270" s="17"/>
      <c r="I270" s="160">
        <f t="shared" si="4"/>
        <v>0</v>
      </c>
      <c r="J270" s="21"/>
    </row>
    <row r="271" spans="2:10" x14ac:dyDescent="0.35">
      <c r="B271" s="12">
        <v>266</v>
      </c>
      <c r="C271" s="17"/>
      <c r="D271" s="17"/>
      <c r="E271" s="17"/>
      <c r="F271" s="165"/>
      <c r="G271" s="165"/>
      <c r="H271" s="17"/>
      <c r="I271" s="160">
        <f t="shared" si="4"/>
        <v>0</v>
      </c>
      <c r="J271" s="21"/>
    </row>
    <row r="272" spans="2:10" x14ac:dyDescent="0.35">
      <c r="B272" s="12">
        <v>267</v>
      </c>
      <c r="C272" s="17"/>
      <c r="D272" s="17"/>
      <c r="E272" s="17"/>
      <c r="F272" s="165"/>
      <c r="G272" s="165"/>
      <c r="H272" s="17"/>
      <c r="I272" s="160">
        <f t="shared" si="4"/>
        <v>0</v>
      </c>
      <c r="J272" s="21"/>
    </row>
    <row r="273" spans="2:10" x14ac:dyDescent="0.35">
      <c r="B273" s="12">
        <v>268</v>
      </c>
      <c r="C273" s="17"/>
      <c r="D273" s="17"/>
      <c r="E273" s="17"/>
      <c r="F273" s="165"/>
      <c r="G273" s="165"/>
      <c r="H273" s="17"/>
      <c r="I273" s="160">
        <f t="shared" si="4"/>
        <v>0</v>
      </c>
      <c r="J273" s="21"/>
    </row>
    <row r="274" spans="2:10" x14ac:dyDescent="0.35">
      <c r="B274" s="12">
        <v>269</v>
      </c>
      <c r="C274" s="17"/>
      <c r="D274" s="17"/>
      <c r="E274" s="17"/>
      <c r="F274" s="165"/>
      <c r="G274" s="165"/>
      <c r="H274" s="17"/>
      <c r="I274" s="160">
        <f t="shared" si="4"/>
        <v>0</v>
      </c>
      <c r="J274" s="21"/>
    </row>
    <row r="275" spans="2:10" x14ac:dyDescent="0.35">
      <c r="B275" s="12">
        <v>270</v>
      </c>
      <c r="C275" s="17"/>
      <c r="D275" s="17"/>
      <c r="E275" s="17"/>
      <c r="F275" s="165"/>
      <c r="G275" s="165"/>
      <c r="H275" s="17"/>
      <c r="I275" s="160">
        <f t="shared" si="4"/>
        <v>0</v>
      </c>
      <c r="J275" s="21"/>
    </row>
    <row r="276" spans="2:10" x14ac:dyDescent="0.35">
      <c r="B276" s="12">
        <v>271</v>
      </c>
      <c r="C276" s="17"/>
      <c r="D276" s="17"/>
      <c r="E276" s="17"/>
      <c r="F276" s="165"/>
      <c r="G276" s="165"/>
      <c r="H276" s="17"/>
      <c r="I276" s="160">
        <f t="shared" si="4"/>
        <v>0</v>
      </c>
      <c r="J276" s="21"/>
    </row>
    <row r="277" spans="2:10" x14ac:dyDescent="0.35">
      <c r="B277" s="12">
        <v>272</v>
      </c>
      <c r="C277" s="17"/>
      <c r="D277" s="17"/>
      <c r="E277" s="17"/>
      <c r="F277" s="165"/>
      <c r="G277" s="165"/>
      <c r="H277" s="17"/>
      <c r="I277" s="160">
        <f t="shared" si="4"/>
        <v>0</v>
      </c>
      <c r="J277" s="21"/>
    </row>
    <row r="278" spans="2:10" x14ac:dyDescent="0.35">
      <c r="B278" s="12">
        <v>273</v>
      </c>
      <c r="C278" s="17"/>
      <c r="D278" s="17"/>
      <c r="E278" s="17"/>
      <c r="F278" s="165"/>
      <c r="G278" s="165"/>
      <c r="H278" s="17"/>
      <c r="I278" s="160">
        <f t="shared" si="4"/>
        <v>0</v>
      </c>
      <c r="J278" s="21"/>
    </row>
    <row r="279" spans="2:10" x14ac:dyDescent="0.35">
      <c r="B279" s="12">
        <v>274</v>
      </c>
      <c r="C279" s="17"/>
      <c r="D279" s="17"/>
      <c r="E279" s="17"/>
      <c r="F279" s="165"/>
      <c r="G279" s="165"/>
      <c r="H279" s="17"/>
      <c r="I279" s="160">
        <f t="shared" si="4"/>
        <v>0</v>
      </c>
      <c r="J279" s="21"/>
    </row>
    <row r="280" spans="2:10" x14ac:dyDescent="0.35">
      <c r="B280" s="12">
        <v>275</v>
      </c>
      <c r="C280" s="17"/>
      <c r="D280" s="17"/>
      <c r="E280" s="17"/>
      <c r="F280" s="165"/>
      <c r="G280" s="165"/>
      <c r="H280" s="17"/>
      <c r="I280" s="160">
        <f t="shared" si="4"/>
        <v>0</v>
      </c>
      <c r="J280" s="21"/>
    </row>
    <row r="281" spans="2:10" x14ac:dyDescent="0.35">
      <c r="B281" s="12">
        <v>276</v>
      </c>
      <c r="C281" s="17"/>
      <c r="D281" s="17"/>
      <c r="E281" s="17"/>
      <c r="F281" s="165"/>
      <c r="G281" s="165"/>
      <c r="H281" s="17"/>
      <c r="I281" s="160">
        <f t="shared" si="4"/>
        <v>0</v>
      </c>
      <c r="J281" s="21"/>
    </row>
    <row r="282" spans="2:10" x14ac:dyDescent="0.35">
      <c r="B282" s="12">
        <v>277</v>
      </c>
      <c r="C282" s="17"/>
      <c r="D282" s="17"/>
      <c r="E282" s="17"/>
      <c r="F282" s="165"/>
      <c r="G282" s="165"/>
      <c r="H282" s="17"/>
      <c r="I282" s="160">
        <f t="shared" si="4"/>
        <v>0</v>
      </c>
      <c r="J282" s="21"/>
    </row>
    <row r="283" spans="2:10" x14ac:dyDescent="0.35">
      <c r="B283" s="12">
        <v>278</v>
      </c>
      <c r="C283" s="17"/>
      <c r="D283" s="17"/>
      <c r="E283" s="17"/>
      <c r="F283" s="165"/>
      <c r="G283" s="165"/>
      <c r="H283" s="17"/>
      <c r="I283" s="160">
        <f t="shared" si="4"/>
        <v>0</v>
      </c>
      <c r="J283" s="21"/>
    </row>
    <row r="284" spans="2:10" x14ac:dyDescent="0.35">
      <c r="B284" s="12">
        <v>279</v>
      </c>
      <c r="C284" s="17"/>
      <c r="D284" s="17"/>
      <c r="E284" s="17"/>
      <c r="F284" s="165"/>
      <c r="G284" s="165"/>
      <c r="H284" s="17"/>
      <c r="I284" s="160">
        <f t="shared" si="4"/>
        <v>0</v>
      </c>
      <c r="J284" s="21"/>
    </row>
    <row r="285" spans="2:10" x14ac:dyDescent="0.35">
      <c r="B285" s="12">
        <v>280</v>
      </c>
      <c r="C285" s="17"/>
      <c r="D285" s="17"/>
      <c r="E285" s="17"/>
      <c r="F285" s="165"/>
      <c r="G285" s="165"/>
      <c r="H285" s="17"/>
      <c r="I285" s="160">
        <f t="shared" si="4"/>
        <v>0</v>
      </c>
      <c r="J285" s="21"/>
    </row>
    <row r="286" spans="2:10" x14ac:dyDescent="0.35">
      <c r="B286" s="12">
        <v>281</v>
      </c>
      <c r="C286" s="17"/>
      <c r="D286" s="17"/>
      <c r="E286" s="17"/>
      <c r="F286" s="165"/>
      <c r="G286" s="165"/>
      <c r="H286" s="17"/>
      <c r="I286" s="160">
        <f t="shared" si="4"/>
        <v>0</v>
      </c>
      <c r="J286" s="21"/>
    </row>
    <row r="287" spans="2:10" x14ac:dyDescent="0.35">
      <c r="B287" s="12">
        <v>282</v>
      </c>
      <c r="C287" s="17"/>
      <c r="D287" s="17"/>
      <c r="E287" s="17"/>
      <c r="F287" s="165"/>
      <c r="G287" s="165"/>
      <c r="H287" s="17"/>
      <c r="I287" s="160">
        <f t="shared" si="4"/>
        <v>0</v>
      </c>
      <c r="J287" s="21"/>
    </row>
    <row r="288" spans="2:10" x14ac:dyDescent="0.35">
      <c r="B288" s="12">
        <v>283</v>
      </c>
      <c r="C288" s="17"/>
      <c r="D288" s="17"/>
      <c r="E288" s="17"/>
      <c r="F288" s="165"/>
      <c r="G288" s="165"/>
      <c r="H288" s="17"/>
      <c r="I288" s="160">
        <f t="shared" si="4"/>
        <v>0</v>
      </c>
      <c r="J288" s="21"/>
    </row>
    <row r="289" spans="2:10" x14ac:dyDescent="0.35">
      <c r="B289" s="12">
        <v>284</v>
      </c>
      <c r="C289" s="17"/>
      <c r="D289" s="17"/>
      <c r="E289" s="17"/>
      <c r="F289" s="165"/>
      <c r="G289" s="165"/>
      <c r="H289" s="17"/>
      <c r="I289" s="160">
        <f t="shared" si="4"/>
        <v>0</v>
      </c>
      <c r="J289" s="21"/>
    </row>
    <row r="290" spans="2:10" x14ac:dyDescent="0.35">
      <c r="B290" s="12">
        <v>285</v>
      </c>
      <c r="C290" s="17"/>
      <c r="D290" s="17"/>
      <c r="E290" s="17"/>
      <c r="F290" s="165"/>
      <c r="G290" s="165"/>
      <c r="H290" s="17"/>
      <c r="I290" s="160">
        <f t="shared" si="4"/>
        <v>0</v>
      </c>
      <c r="J290" s="21"/>
    </row>
    <row r="291" spans="2:10" x14ac:dyDescent="0.35">
      <c r="B291" s="12">
        <v>286</v>
      </c>
      <c r="C291" s="17"/>
      <c r="D291" s="17"/>
      <c r="E291" s="17"/>
      <c r="F291" s="165"/>
      <c r="G291" s="165"/>
      <c r="H291" s="17"/>
      <c r="I291" s="160">
        <f t="shared" si="4"/>
        <v>0</v>
      </c>
      <c r="J291" s="21"/>
    </row>
    <row r="292" spans="2:10" x14ac:dyDescent="0.35">
      <c r="B292" s="12">
        <v>287</v>
      </c>
      <c r="C292" s="17"/>
      <c r="D292" s="17"/>
      <c r="E292" s="17"/>
      <c r="F292" s="165"/>
      <c r="G292" s="165"/>
      <c r="H292" s="17"/>
      <c r="I292" s="160">
        <f t="shared" si="4"/>
        <v>0</v>
      </c>
      <c r="J292" s="21"/>
    </row>
    <row r="293" spans="2:10" x14ac:dyDescent="0.35">
      <c r="B293" s="12">
        <v>288</v>
      </c>
      <c r="C293" s="17"/>
      <c r="D293" s="17"/>
      <c r="E293" s="17"/>
      <c r="F293" s="165"/>
      <c r="G293" s="165"/>
      <c r="H293" s="17"/>
      <c r="I293" s="160">
        <f t="shared" si="4"/>
        <v>0</v>
      </c>
      <c r="J293" s="21"/>
    </row>
    <row r="294" spans="2:10" x14ac:dyDescent="0.35">
      <c r="B294" s="12">
        <v>289</v>
      </c>
      <c r="C294" s="17"/>
      <c r="D294" s="17"/>
      <c r="E294" s="17"/>
      <c r="F294" s="165"/>
      <c r="G294" s="165"/>
      <c r="H294" s="17"/>
      <c r="I294" s="160">
        <f t="shared" si="4"/>
        <v>0</v>
      </c>
      <c r="J294" s="21"/>
    </row>
    <row r="295" spans="2:10" x14ac:dyDescent="0.35">
      <c r="B295" s="12">
        <v>290</v>
      </c>
      <c r="C295" s="17"/>
      <c r="D295" s="17"/>
      <c r="E295" s="17"/>
      <c r="F295" s="165"/>
      <c r="G295" s="165"/>
      <c r="H295" s="17"/>
      <c r="I295" s="160">
        <f t="shared" si="4"/>
        <v>0</v>
      </c>
      <c r="J295" s="21"/>
    </row>
    <row r="296" spans="2:10" x14ac:dyDescent="0.35">
      <c r="B296" s="12">
        <v>291</v>
      </c>
      <c r="C296" s="17"/>
      <c r="D296" s="17"/>
      <c r="E296" s="17"/>
      <c r="F296" s="165"/>
      <c r="G296" s="165"/>
      <c r="H296" s="17"/>
      <c r="I296" s="160">
        <f t="shared" si="4"/>
        <v>0</v>
      </c>
      <c r="J296" s="21"/>
    </row>
    <row r="297" spans="2:10" x14ac:dyDescent="0.35">
      <c r="B297" s="12">
        <v>292</v>
      </c>
      <c r="C297" s="17"/>
      <c r="D297" s="17"/>
      <c r="E297" s="17"/>
      <c r="F297" s="165"/>
      <c r="G297" s="165"/>
      <c r="H297" s="17"/>
      <c r="I297" s="160">
        <f t="shared" si="4"/>
        <v>0</v>
      </c>
      <c r="J297" s="21"/>
    </row>
    <row r="298" spans="2:10" x14ac:dyDescent="0.35">
      <c r="B298" s="12">
        <v>293</v>
      </c>
      <c r="C298" s="17"/>
      <c r="D298" s="17"/>
      <c r="E298" s="17"/>
      <c r="F298" s="165"/>
      <c r="G298" s="165"/>
      <c r="H298" s="17"/>
      <c r="I298" s="160">
        <f t="shared" si="4"/>
        <v>0</v>
      </c>
      <c r="J298" s="21"/>
    </row>
    <row r="299" spans="2:10" x14ac:dyDescent="0.35">
      <c r="B299" s="12">
        <v>294</v>
      </c>
      <c r="C299" s="17"/>
      <c r="D299" s="17"/>
      <c r="E299" s="17"/>
      <c r="F299" s="165"/>
      <c r="G299" s="165"/>
      <c r="H299" s="17"/>
      <c r="I299" s="160">
        <f t="shared" si="4"/>
        <v>0</v>
      </c>
      <c r="J299" s="21"/>
    </row>
    <row r="300" spans="2:10" x14ac:dyDescent="0.35">
      <c r="B300" s="12">
        <v>295</v>
      </c>
      <c r="C300" s="17"/>
      <c r="D300" s="17"/>
      <c r="E300" s="17"/>
      <c r="F300" s="165"/>
      <c r="G300" s="165"/>
      <c r="H300" s="17"/>
      <c r="I300" s="160">
        <f t="shared" si="4"/>
        <v>0</v>
      </c>
      <c r="J300" s="21"/>
    </row>
    <row r="301" spans="2:10" x14ac:dyDescent="0.35">
      <c r="B301" s="12">
        <v>296</v>
      </c>
      <c r="C301" s="17"/>
      <c r="D301" s="17"/>
      <c r="E301" s="17"/>
      <c r="F301" s="165"/>
      <c r="G301" s="165"/>
      <c r="H301" s="17"/>
      <c r="I301" s="160">
        <f t="shared" si="4"/>
        <v>0</v>
      </c>
      <c r="J301" s="21"/>
    </row>
    <row r="302" spans="2:10" x14ac:dyDescent="0.35">
      <c r="B302" s="12">
        <v>297</v>
      </c>
      <c r="C302" s="17"/>
      <c r="D302" s="17"/>
      <c r="E302" s="17"/>
      <c r="F302" s="165"/>
      <c r="G302" s="165"/>
      <c r="H302" s="17"/>
      <c r="I302" s="160">
        <f t="shared" si="4"/>
        <v>0</v>
      </c>
      <c r="J302" s="21"/>
    </row>
    <row r="303" spans="2:10" x14ac:dyDescent="0.35">
      <c r="B303" s="12">
        <v>298</v>
      </c>
      <c r="C303" s="17"/>
      <c r="D303" s="17"/>
      <c r="E303" s="17"/>
      <c r="F303" s="165"/>
      <c r="G303" s="165"/>
      <c r="H303" s="17"/>
      <c r="I303" s="160">
        <f t="shared" si="4"/>
        <v>0</v>
      </c>
      <c r="J303" s="21"/>
    </row>
    <row r="304" spans="2:10" x14ac:dyDescent="0.35">
      <c r="B304" s="12">
        <v>299</v>
      </c>
      <c r="C304" s="17"/>
      <c r="D304" s="17"/>
      <c r="E304" s="17"/>
      <c r="F304" s="165"/>
      <c r="G304" s="165"/>
      <c r="H304" s="17"/>
      <c r="I304" s="160">
        <f t="shared" si="4"/>
        <v>0</v>
      </c>
      <c r="J304" s="21"/>
    </row>
    <row r="305" spans="2:10" x14ac:dyDescent="0.35">
      <c r="B305" s="12">
        <v>300</v>
      </c>
      <c r="C305" s="17"/>
      <c r="D305" s="17"/>
      <c r="E305" s="17"/>
      <c r="F305" s="165"/>
      <c r="G305" s="165"/>
      <c r="H305" s="17"/>
      <c r="I305" s="160">
        <f t="shared" si="4"/>
        <v>0</v>
      </c>
      <c r="J305" s="21"/>
    </row>
    <row r="306" spans="2:10" x14ac:dyDescent="0.35">
      <c r="B306" s="12">
        <v>301</v>
      </c>
      <c r="C306" s="17"/>
      <c r="D306" s="17"/>
      <c r="E306" s="17"/>
      <c r="F306" s="165"/>
      <c r="G306" s="165"/>
      <c r="H306" s="17"/>
      <c r="I306" s="160">
        <f t="shared" si="4"/>
        <v>0</v>
      </c>
      <c r="J306" s="21"/>
    </row>
    <row r="307" spans="2:10" x14ac:dyDescent="0.35">
      <c r="B307" s="12">
        <v>302</v>
      </c>
      <c r="C307" s="17"/>
      <c r="D307" s="17"/>
      <c r="E307" s="17"/>
      <c r="F307" s="165"/>
      <c r="G307" s="165"/>
      <c r="H307" s="17"/>
      <c r="I307" s="160">
        <f t="shared" si="4"/>
        <v>0</v>
      </c>
      <c r="J307" s="21"/>
    </row>
    <row r="308" spans="2:10" x14ac:dyDescent="0.35">
      <c r="B308" s="12">
        <v>303</v>
      </c>
      <c r="C308" s="17"/>
      <c r="D308" s="17"/>
      <c r="E308" s="17"/>
      <c r="F308" s="165"/>
      <c r="G308" s="165"/>
      <c r="H308" s="17"/>
      <c r="I308" s="160">
        <f t="shared" si="4"/>
        <v>0</v>
      </c>
      <c r="J308" s="21"/>
    </row>
    <row r="309" spans="2:10" x14ac:dyDescent="0.35">
      <c r="B309" s="12">
        <v>304</v>
      </c>
      <c r="C309" s="17"/>
      <c r="D309" s="17"/>
      <c r="E309" s="17"/>
      <c r="F309" s="165"/>
      <c r="G309" s="165"/>
      <c r="H309" s="17"/>
      <c r="I309" s="160">
        <f t="shared" si="4"/>
        <v>0</v>
      </c>
      <c r="J309" s="21"/>
    </row>
    <row r="310" spans="2:10" x14ac:dyDescent="0.35">
      <c r="B310" s="12">
        <v>305</v>
      </c>
      <c r="C310" s="17"/>
      <c r="D310" s="17"/>
      <c r="E310" s="17"/>
      <c r="F310" s="165"/>
      <c r="G310" s="165"/>
      <c r="H310" s="17"/>
      <c r="I310" s="160">
        <f t="shared" si="4"/>
        <v>0</v>
      </c>
      <c r="J310" s="21"/>
    </row>
    <row r="311" spans="2:10" x14ac:dyDescent="0.35">
      <c r="B311" s="12">
        <v>306</v>
      </c>
      <c r="C311" s="17"/>
      <c r="D311" s="17"/>
      <c r="E311" s="17"/>
      <c r="F311" s="165"/>
      <c r="G311" s="165"/>
      <c r="H311" s="17"/>
      <c r="I311" s="160">
        <f t="shared" si="4"/>
        <v>0</v>
      </c>
      <c r="J311" s="21"/>
    </row>
    <row r="312" spans="2:10" x14ac:dyDescent="0.35">
      <c r="B312" s="12">
        <v>307</v>
      </c>
      <c r="C312" s="17"/>
      <c r="D312" s="17"/>
      <c r="E312" s="17"/>
      <c r="F312" s="165"/>
      <c r="G312" s="165"/>
      <c r="H312" s="17"/>
      <c r="I312" s="160">
        <f t="shared" si="4"/>
        <v>0</v>
      </c>
      <c r="J312" s="21"/>
    </row>
    <row r="313" spans="2:10" x14ac:dyDescent="0.35">
      <c r="B313" s="12">
        <v>308</v>
      </c>
      <c r="C313" s="17"/>
      <c r="D313" s="17"/>
      <c r="E313" s="17"/>
      <c r="F313" s="165"/>
      <c r="G313" s="165"/>
      <c r="H313" s="17"/>
      <c r="I313" s="160">
        <f t="shared" si="4"/>
        <v>0</v>
      </c>
      <c r="J313" s="21"/>
    </row>
    <row r="314" spans="2:10" x14ac:dyDescent="0.35">
      <c r="B314" s="12">
        <v>309</v>
      </c>
      <c r="C314" s="17"/>
      <c r="D314" s="17"/>
      <c r="E314" s="17"/>
      <c r="F314" s="165"/>
      <c r="G314" s="165"/>
      <c r="H314" s="17"/>
      <c r="I314" s="160">
        <f t="shared" si="4"/>
        <v>0</v>
      </c>
      <c r="J314" s="21"/>
    </row>
    <row r="315" spans="2:10" x14ac:dyDescent="0.35">
      <c r="B315" s="12">
        <v>310</v>
      </c>
      <c r="C315" s="17"/>
      <c r="D315" s="17"/>
      <c r="E315" s="17"/>
      <c r="F315" s="165"/>
      <c r="G315" s="165"/>
      <c r="H315" s="17"/>
      <c r="I315" s="160">
        <f t="shared" si="4"/>
        <v>0</v>
      </c>
      <c r="J315" s="21"/>
    </row>
    <row r="316" spans="2:10" x14ac:dyDescent="0.35">
      <c r="B316" s="12">
        <v>311</v>
      </c>
      <c r="C316" s="17"/>
      <c r="D316" s="17"/>
      <c r="E316" s="17"/>
      <c r="F316" s="165"/>
      <c r="G316" s="165"/>
      <c r="H316" s="17"/>
      <c r="I316" s="160">
        <f t="shared" si="4"/>
        <v>0</v>
      </c>
      <c r="J316" s="21"/>
    </row>
    <row r="317" spans="2:10" x14ac:dyDescent="0.35">
      <c r="B317" s="12">
        <v>312</v>
      </c>
      <c r="C317" s="17"/>
      <c r="D317" s="17"/>
      <c r="E317" s="17"/>
      <c r="F317" s="165"/>
      <c r="G317" s="165"/>
      <c r="H317" s="17"/>
      <c r="I317" s="160">
        <f t="shared" si="4"/>
        <v>0</v>
      </c>
      <c r="J317" s="21"/>
    </row>
    <row r="318" spans="2:10" x14ac:dyDescent="0.35">
      <c r="B318" s="12">
        <v>313</v>
      </c>
      <c r="C318" s="17"/>
      <c r="D318" s="17"/>
      <c r="E318" s="17"/>
      <c r="F318" s="165"/>
      <c r="G318" s="165"/>
      <c r="H318" s="17"/>
      <c r="I318" s="160">
        <f t="shared" si="4"/>
        <v>0</v>
      </c>
      <c r="J318" s="21"/>
    </row>
    <row r="319" spans="2:10" x14ac:dyDescent="0.35">
      <c r="B319" s="12">
        <v>314</v>
      </c>
      <c r="C319" s="17"/>
      <c r="D319" s="17"/>
      <c r="E319" s="17"/>
      <c r="F319" s="165"/>
      <c r="G319" s="165"/>
      <c r="H319" s="17"/>
      <c r="I319" s="160">
        <f t="shared" si="4"/>
        <v>0</v>
      </c>
      <c r="J319" s="21"/>
    </row>
    <row r="320" spans="2:10" x14ac:dyDescent="0.35">
      <c r="B320" s="12">
        <v>315</v>
      </c>
      <c r="C320" s="17"/>
      <c r="D320" s="17"/>
      <c r="E320" s="17"/>
      <c r="F320" s="165"/>
      <c r="G320" s="165"/>
      <c r="H320" s="17"/>
      <c r="I320" s="160">
        <f t="shared" si="4"/>
        <v>0</v>
      </c>
      <c r="J320" s="21"/>
    </row>
    <row r="321" spans="2:10" x14ac:dyDescent="0.35">
      <c r="B321" s="12">
        <v>316</v>
      </c>
      <c r="C321" s="17"/>
      <c r="D321" s="17"/>
      <c r="E321" s="17"/>
      <c r="F321" s="165"/>
      <c r="G321" s="165"/>
      <c r="H321" s="17"/>
      <c r="I321" s="160">
        <f t="shared" si="4"/>
        <v>0</v>
      </c>
      <c r="J321" s="21"/>
    </row>
    <row r="322" spans="2:10" x14ac:dyDescent="0.35">
      <c r="B322" s="12">
        <v>317</v>
      </c>
      <c r="C322" s="17"/>
      <c r="D322" s="17"/>
      <c r="E322" s="17"/>
      <c r="F322" s="165"/>
      <c r="G322" s="165"/>
      <c r="H322" s="17"/>
      <c r="I322" s="160">
        <f t="shared" si="4"/>
        <v>0</v>
      </c>
      <c r="J322" s="21"/>
    </row>
    <row r="323" spans="2:10" x14ac:dyDescent="0.35">
      <c r="B323" s="12">
        <v>318</v>
      </c>
      <c r="C323" s="17"/>
      <c r="D323" s="17"/>
      <c r="E323" s="17"/>
      <c r="F323" s="165"/>
      <c r="G323" s="165"/>
      <c r="H323" s="17"/>
      <c r="I323" s="160">
        <f t="shared" si="4"/>
        <v>0</v>
      </c>
      <c r="J323" s="21"/>
    </row>
    <row r="324" spans="2:10" x14ac:dyDescent="0.35">
      <c r="B324" s="12">
        <v>319</v>
      </c>
      <c r="C324" s="17"/>
      <c r="D324" s="17"/>
      <c r="E324" s="17"/>
      <c r="F324" s="165"/>
      <c r="G324" s="165"/>
      <c r="H324" s="17"/>
      <c r="I324" s="160">
        <f t="shared" si="4"/>
        <v>0</v>
      </c>
      <c r="J324" s="21"/>
    </row>
    <row r="325" spans="2:10" x14ac:dyDescent="0.35">
      <c r="B325" s="12">
        <v>320</v>
      </c>
      <c r="C325" s="17"/>
      <c r="D325" s="17"/>
      <c r="E325" s="17"/>
      <c r="F325" s="165"/>
      <c r="G325" s="165"/>
      <c r="H325" s="17"/>
      <c r="I325" s="160">
        <f t="shared" si="4"/>
        <v>0</v>
      </c>
      <c r="J325" s="21"/>
    </row>
    <row r="326" spans="2:10" x14ac:dyDescent="0.35">
      <c r="B326" s="12">
        <v>321</v>
      </c>
      <c r="C326" s="17"/>
      <c r="D326" s="17"/>
      <c r="E326" s="17"/>
      <c r="F326" s="165"/>
      <c r="G326" s="165"/>
      <c r="H326" s="17"/>
      <c r="I326" s="160">
        <f t="shared" si="4"/>
        <v>0</v>
      </c>
      <c r="J326" s="21"/>
    </row>
    <row r="327" spans="2:10" x14ac:dyDescent="0.35">
      <c r="B327" s="12">
        <v>322</v>
      </c>
      <c r="C327" s="17"/>
      <c r="D327" s="17"/>
      <c r="E327" s="17"/>
      <c r="F327" s="165"/>
      <c r="G327" s="165"/>
      <c r="H327" s="17"/>
      <c r="I327" s="160">
        <f t="shared" si="4"/>
        <v>0</v>
      </c>
      <c r="J327" s="21"/>
    </row>
    <row r="328" spans="2:10" x14ac:dyDescent="0.35">
      <c r="B328" s="12">
        <v>323</v>
      </c>
      <c r="C328" s="17"/>
      <c r="D328" s="17"/>
      <c r="E328" s="17"/>
      <c r="F328" s="165"/>
      <c r="G328" s="165"/>
      <c r="H328" s="17"/>
      <c r="I328" s="160">
        <f t="shared" si="4"/>
        <v>0</v>
      </c>
      <c r="J328" s="21"/>
    </row>
    <row r="329" spans="2:10" x14ac:dyDescent="0.35">
      <c r="B329" s="12">
        <v>324</v>
      </c>
      <c r="C329" s="17"/>
      <c r="D329" s="17"/>
      <c r="E329" s="17"/>
      <c r="F329" s="165"/>
      <c r="G329" s="165"/>
      <c r="H329" s="17"/>
      <c r="I329" s="160">
        <f t="shared" ref="I329:I390" si="5">G329*H329</f>
        <v>0</v>
      </c>
      <c r="J329" s="21"/>
    </row>
    <row r="330" spans="2:10" x14ac:dyDescent="0.35">
      <c r="B330" s="12">
        <v>325</v>
      </c>
      <c r="C330" s="17"/>
      <c r="D330" s="17"/>
      <c r="E330" s="17"/>
      <c r="F330" s="165"/>
      <c r="G330" s="165"/>
      <c r="H330" s="17"/>
      <c r="I330" s="160">
        <f t="shared" si="5"/>
        <v>0</v>
      </c>
      <c r="J330" s="21"/>
    </row>
    <row r="331" spans="2:10" x14ac:dyDescent="0.35">
      <c r="B331" s="12">
        <v>326</v>
      </c>
      <c r="C331" s="17"/>
      <c r="D331" s="17"/>
      <c r="E331" s="17"/>
      <c r="F331" s="165"/>
      <c r="G331" s="165"/>
      <c r="H331" s="17"/>
      <c r="I331" s="160">
        <f t="shared" si="5"/>
        <v>0</v>
      </c>
      <c r="J331" s="21"/>
    </row>
    <row r="332" spans="2:10" x14ac:dyDescent="0.35">
      <c r="B332" s="12">
        <v>327</v>
      </c>
      <c r="C332" s="17"/>
      <c r="D332" s="17"/>
      <c r="E332" s="17"/>
      <c r="F332" s="165"/>
      <c r="G332" s="165"/>
      <c r="H332" s="17"/>
      <c r="I332" s="160">
        <f t="shared" si="5"/>
        <v>0</v>
      </c>
      <c r="J332" s="21"/>
    </row>
    <row r="333" spans="2:10" x14ac:dyDescent="0.35">
      <c r="B333" s="12">
        <v>328</v>
      </c>
      <c r="C333" s="17"/>
      <c r="D333" s="17"/>
      <c r="E333" s="17"/>
      <c r="F333" s="165"/>
      <c r="G333" s="165"/>
      <c r="H333" s="17"/>
      <c r="I333" s="160">
        <f t="shared" si="5"/>
        <v>0</v>
      </c>
      <c r="J333" s="21"/>
    </row>
    <row r="334" spans="2:10" x14ac:dyDescent="0.35">
      <c r="B334" s="12">
        <v>329</v>
      </c>
      <c r="C334" s="17"/>
      <c r="D334" s="17"/>
      <c r="E334" s="17"/>
      <c r="F334" s="165"/>
      <c r="G334" s="165"/>
      <c r="H334" s="17"/>
      <c r="I334" s="160">
        <f t="shared" si="5"/>
        <v>0</v>
      </c>
      <c r="J334" s="21"/>
    </row>
    <row r="335" spans="2:10" x14ac:dyDescent="0.35">
      <c r="B335" s="12">
        <v>330</v>
      </c>
      <c r="C335" s="17"/>
      <c r="D335" s="17"/>
      <c r="E335" s="17"/>
      <c r="F335" s="165"/>
      <c r="G335" s="165"/>
      <c r="H335" s="17"/>
      <c r="I335" s="160">
        <f t="shared" si="5"/>
        <v>0</v>
      </c>
      <c r="J335" s="21"/>
    </row>
    <row r="336" spans="2:10" x14ac:dyDescent="0.35">
      <c r="B336" s="12">
        <v>331</v>
      </c>
      <c r="C336" s="17"/>
      <c r="D336" s="17"/>
      <c r="E336" s="17"/>
      <c r="F336" s="165"/>
      <c r="G336" s="165"/>
      <c r="H336" s="17"/>
      <c r="I336" s="160">
        <f t="shared" si="5"/>
        <v>0</v>
      </c>
      <c r="J336" s="21"/>
    </row>
    <row r="337" spans="2:10" x14ac:dyDescent="0.35">
      <c r="B337" s="12">
        <v>332</v>
      </c>
      <c r="C337" s="17"/>
      <c r="D337" s="17"/>
      <c r="E337" s="17"/>
      <c r="F337" s="165"/>
      <c r="G337" s="165"/>
      <c r="H337" s="17"/>
      <c r="I337" s="160">
        <f t="shared" si="5"/>
        <v>0</v>
      </c>
      <c r="J337" s="21"/>
    </row>
    <row r="338" spans="2:10" x14ac:dyDescent="0.35">
      <c r="B338" s="12">
        <v>333</v>
      </c>
      <c r="C338" s="17"/>
      <c r="D338" s="17"/>
      <c r="E338" s="17"/>
      <c r="F338" s="165"/>
      <c r="G338" s="165"/>
      <c r="H338" s="17"/>
      <c r="I338" s="160">
        <f t="shared" si="5"/>
        <v>0</v>
      </c>
      <c r="J338" s="21"/>
    </row>
    <row r="339" spans="2:10" x14ac:dyDescent="0.35">
      <c r="B339" s="12">
        <v>334</v>
      </c>
      <c r="C339" s="17"/>
      <c r="D339" s="17"/>
      <c r="E339" s="17"/>
      <c r="F339" s="165"/>
      <c r="G339" s="165"/>
      <c r="H339" s="17"/>
      <c r="I339" s="160">
        <f t="shared" si="5"/>
        <v>0</v>
      </c>
      <c r="J339" s="21"/>
    </row>
    <row r="340" spans="2:10" x14ac:dyDescent="0.35">
      <c r="B340" s="12">
        <v>335</v>
      </c>
      <c r="C340" s="17"/>
      <c r="D340" s="17"/>
      <c r="E340" s="17"/>
      <c r="F340" s="165"/>
      <c r="G340" s="165"/>
      <c r="H340" s="17"/>
      <c r="I340" s="160">
        <f t="shared" si="5"/>
        <v>0</v>
      </c>
      <c r="J340" s="21"/>
    </row>
    <row r="341" spans="2:10" x14ac:dyDescent="0.35">
      <c r="B341" s="12">
        <v>336</v>
      </c>
      <c r="C341" s="17"/>
      <c r="D341" s="17"/>
      <c r="E341" s="17"/>
      <c r="F341" s="165"/>
      <c r="G341" s="165"/>
      <c r="H341" s="17"/>
      <c r="I341" s="160">
        <f t="shared" si="5"/>
        <v>0</v>
      </c>
      <c r="J341" s="21"/>
    </row>
    <row r="342" spans="2:10" x14ac:dyDescent="0.35">
      <c r="B342" s="12">
        <v>337</v>
      </c>
      <c r="C342" s="17"/>
      <c r="D342" s="17"/>
      <c r="E342" s="17"/>
      <c r="F342" s="165"/>
      <c r="G342" s="165"/>
      <c r="H342" s="17"/>
      <c r="I342" s="160">
        <f t="shared" si="5"/>
        <v>0</v>
      </c>
      <c r="J342" s="21"/>
    </row>
    <row r="343" spans="2:10" x14ac:dyDescent="0.35">
      <c r="B343" s="12">
        <v>338</v>
      </c>
      <c r="C343" s="17"/>
      <c r="D343" s="17"/>
      <c r="E343" s="17"/>
      <c r="F343" s="165"/>
      <c r="G343" s="165"/>
      <c r="H343" s="17"/>
      <c r="I343" s="160">
        <f t="shared" si="5"/>
        <v>0</v>
      </c>
      <c r="J343" s="21"/>
    </row>
    <row r="344" spans="2:10" x14ac:dyDescent="0.35">
      <c r="B344" s="12">
        <v>339</v>
      </c>
      <c r="C344" s="17"/>
      <c r="D344" s="17"/>
      <c r="E344" s="17"/>
      <c r="F344" s="165"/>
      <c r="G344" s="165"/>
      <c r="H344" s="17"/>
      <c r="I344" s="160">
        <f t="shared" si="5"/>
        <v>0</v>
      </c>
      <c r="J344" s="21"/>
    </row>
    <row r="345" spans="2:10" x14ac:dyDescent="0.35">
      <c r="B345" s="12">
        <v>340</v>
      </c>
      <c r="C345" s="17"/>
      <c r="D345" s="17"/>
      <c r="E345" s="17"/>
      <c r="F345" s="165"/>
      <c r="G345" s="165"/>
      <c r="H345" s="17"/>
      <c r="I345" s="160">
        <f t="shared" si="5"/>
        <v>0</v>
      </c>
      <c r="J345" s="21"/>
    </row>
    <row r="346" spans="2:10" x14ac:dyDescent="0.35">
      <c r="B346" s="12">
        <v>341</v>
      </c>
      <c r="C346" s="17"/>
      <c r="D346" s="17"/>
      <c r="E346" s="17"/>
      <c r="F346" s="165"/>
      <c r="G346" s="165"/>
      <c r="H346" s="17"/>
      <c r="I346" s="160">
        <f t="shared" si="5"/>
        <v>0</v>
      </c>
      <c r="J346" s="21"/>
    </row>
    <row r="347" spans="2:10" x14ac:dyDescent="0.35">
      <c r="B347" s="12">
        <v>342</v>
      </c>
      <c r="C347" s="17"/>
      <c r="D347" s="17"/>
      <c r="E347" s="17"/>
      <c r="F347" s="165"/>
      <c r="G347" s="165"/>
      <c r="H347" s="17"/>
      <c r="I347" s="160">
        <f t="shared" si="5"/>
        <v>0</v>
      </c>
      <c r="J347" s="21"/>
    </row>
    <row r="348" spans="2:10" x14ac:dyDescent="0.35">
      <c r="B348" s="12">
        <v>343</v>
      </c>
      <c r="C348" s="17"/>
      <c r="D348" s="17"/>
      <c r="E348" s="17"/>
      <c r="F348" s="165"/>
      <c r="G348" s="165"/>
      <c r="H348" s="17"/>
      <c r="I348" s="160">
        <f t="shared" si="5"/>
        <v>0</v>
      </c>
      <c r="J348" s="21"/>
    </row>
    <row r="349" spans="2:10" x14ac:dyDescent="0.35">
      <c r="B349" s="12">
        <v>344</v>
      </c>
      <c r="C349" s="17"/>
      <c r="D349" s="17"/>
      <c r="E349" s="17"/>
      <c r="F349" s="165"/>
      <c r="G349" s="165"/>
      <c r="H349" s="17"/>
      <c r="I349" s="160">
        <f t="shared" si="5"/>
        <v>0</v>
      </c>
      <c r="J349" s="21"/>
    </row>
    <row r="350" spans="2:10" x14ac:dyDescent="0.35">
      <c r="B350" s="12">
        <v>345</v>
      </c>
      <c r="C350" s="17"/>
      <c r="D350" s="17"/>
      <c r="E350" s="17"/>
      <c r="F350" s="165"/>
      <c r="G350" s="165"/>
      <c r="H350" s="17"/>
      <c r="I350" s="160">
        <f t="shared" si="5"/>
        <v>0</v>
      </c>
      <c r="J350" s="21"/>
    </row>
    <row r="351" spans="2:10" x14ac:dyDescent="0.35">
      <c r="B351" s="12">
        <v>346</v>
      </c>
      <c r="C351" s="17"/>
      <c r="D351" s="17"/>
      <c r="E351" s="17"/>
      <c r="F351" s="165"/>
      <c r="G351" s="165"/>
      <c r="H351" s="17"/>
      <c r="I351" s="160">
        <f t="shared" si="5"/>
        <v>0</v>
      </c>
      <c r="J351" s="21"/>
    </row>
    <row r="352" spans="2:10" x14ac:dyDescent="0.35">
      <c r="B352" s="12">
        <v>347</v>
      </c>
      <c r="C352" s="17"/>
      <c r="D352" s="17"/>
      <c r="E352" s="17"/>
      <c r="F352" s="165"/>
      <c r="G352" s="165"/>
      <c r="H352" s="17"/>
      <c r="I352" s="160">
        <f t="shared" si="5"/>
        <v>0</v>
      </c>
      <c r="J352" s="21"/>
    </row>
    <row r="353" spans="2:10" x14ac:dyDescent="0.35">
      <c r="B353" s="12">
        <v>348</v>
      </c>
      <c r="C353" s="17"/>
      <c r="D353" s="17"/>
      <c r="E353" s="17"/>
      <c r="F353" s="165"/>
      <c r="G353" s="165"/>
      <c r="H353" s="17"/>
      <c r="I353" s="160">
        <f t="shared" si="5"/>
        <v>0</v>
      </c>
      <c r="J353" s="21"/>
    </row>
    <row r="354" spans="2:10" x14ac:dyDescent="0.35">
      <c r="B354" s="12">
        <v>349</v>
      </c>
      <c r="C354" s="17"/>
      <c r="D354" s="17"/>
      <c r="E354" s="17"/>
      <c r="F354" s="165"/>
      <c r="G354" s="165"/>
      <c r="H354" s="17"/>
      <c r="I354" s="160">
        <f t="shared" si="5"/>
        <v>0</v>
      </c>
      <c r="J354" s="21"/>
    </row>
    <row r="355" spans="2:10" x14ac:dyDescent="0.35">
      <c r="B355" s="12">
        <v>350</v>
      </c>
      <c r="C355" s="17"/>
      <c r="D355" s="17"/>
      <c r="E355" s="17"/>
      <c r="F355" s="165"/>
      <c r="G355" s="165"/>
      <c r="H355" s="17"/>
      <c r="I355" s="160">
        <f t="shared" si="5"/>
        <v>0</v>
      </c>
      <c r="J355" s="21"/>
    </row>
    <row r="356" spans="2:10" x14ac:dyDescent="0.35">
      <c r="B356" s="12">
        <v>351</v>
      </c>
      <c r="C356" s="17"/>
      <c r="D356" s="17"/>
      <c r="E356" s="17"/>
      <c r="F356" s="165"/>
      <c r="G356" s="165"/>
      <c r="H356" s="17"/>
      <c r="I356" s="160">
        <f t="shared" si="5"/>
        <v>0</v>
      </c>
      <c r="J356" s="21"/>
    </row>
    <row r="357" spans="2:10" x14ac:dyDescent="0.35">
      <c r="B357" s="12">
        <v>352</v>
      </c>
      <c r="C357" s="17"/>
      <c r="D357" s="17"/>
      <c r="E357" s="17"/>
      <c r="F357" s="165"/>
      <c r="G357" s="165"/>
      <c r="H357" s="17"/>
      <c r="I357" s="160">
        <f t="shared" si="5"/>
        <v>0</v>
      </c>
      <c r="J357" s="21"/>
    </row>
    <row r="358" spans="2:10" x14ac:dyDescent="0.35">
      <c r="B358" s="12">
        <v>353</v>
      </c>
      <c r="C358" s="17"/>
      <c r="D358" s="17"/>
      <c r="E358" s="17"/>
      <c r="F358" s="165"/>
      <c r="G358" s="165"/>
      <c r="H358" s="17"/>
      <c r="I358" s="160">
        <f t="shared" si="5"/>
        <v>0</v>
      </c>
      <c r="J358" s="21"/>
    </row>
    <row r="359" spans="2:10" x14ac:dyDescent="0.35">
      <c r="B359" s="12">
        <v>354</v>
      </c>
      <c r="C359" s="17"/>
      <c r="D359" s="17"/>
      <c r="E359" s="17"/>
      <c r="F359" s="165"/>
      <c r="G359" s="165"/>
      <c r="H359" s="17"/>
      <c r="I359" s="160">
        <f t="shared" si="5"/>
        <v>0</v>
      </c>
      <c r="J359" s="21"/>
    </row>
    <row r="360" spans="2:10" x14ac:dyDescent="0.35">
      <c r="B360" s="12">
        <v>355</v>
      </c>
      <c r="C360" s="17"/>
      <c r="D360" s="17"/>
      <c r="E360" s="17"/>
      <c r="F360" s="165"/>
      <c r="G360" s="165"/>
      <c r="H360" s="17"/>
      <c r="I360" s="160">
        <f t="shared" si="5"/>
        <v>0</v>
      </c>
      <c r="J360" s="21"/>
    </row>
    <row r="361" spans="2:10" x14ac:dyDescent="0.35">
      <c r="B361" s="12">
        <v>356</v>
      </c>
      <c r="C361" s="17"/>
      <c r="D361" s="17"/>
      <c r="E361" s="17"/>
      <c r="F361" s="165"/>
      <c r="G361" s="165"/>
      <c r="H361" s="17"/>
      <c r="I361" s="160">
        <f t="shared" si="5"/>
        <v>0</v>
      </c>
      <c r="J361" s="21"/>
    </row>
    <row r="362" spans="2:10" x14ac:dyDescent="0.35">
      <c r="B362" s="12">
        <v>357</v>
      </c>
      <c r="C362" s="17"/>
      <c r="D362" s="17"/>
      <c r="E362" s="17"/>
      <c r="F362" s="165"/>
      <c r="G362" s="165"/>
      <c r="H362" s="17"/>
      <c r="I362" s="160">
        <f t="shared" si="5"/>
        <v>0</v>
      </c>
      <c r="J362" s="21"/>
    </row>
    <row r="363" spans="2:10" x14ac:dyDescent="0.35">
      <c r="B363" s="12">
        <v>358</v>
      </c>
      <c r="C363" s="17"/>
      <c r="D363" s="17"/>
      <c r="E363" s="17"/>
      <c r="F363" s="165"/>
      <c r="G363" s="165"/>
      <c r="H363" s="17"/>
      <c r="I363" s="160">
        <f t="shared" si="5"/>
        <v>0</v>
      </c>
      <c r="J363" s="21"/>
    </row>
    <row r="364" spans="2:10" x14ac:dyDescent="0.35">
      <c r="B364" s="12">
        <v>359</v>
      </c>
      <c r="C364" s="17"/>
      <c r="D364" s="17"/>
      <c r="E364" s="17"/>
      <c r="F364" s="165"/>
      <c r="G364" s="165"/>
      <c r="H364" s="17"/>
      <c r="I364" s="160">
        <f t="shared" si="5"/>
        <v>0</v>
      </c>
      <c r="J364" s="21"/>
    </row>
    <row r="365" spans="2:10" x14ac:dyDescent="0.35">
      <c r="B365" s="12">
        <v>360</v>
      </c>
      <c r="C365" s="17"/>
      <c r="D365" s="17"/>
      <c r="E365" s="17"/>
      <c r="F365" s="165"/>
      <c r="G365" s="165"/>
      <c r="H365" s="17"/>
      <c r="I365" s="160">
        <f t="shared" si="5"/>
        <v>0</v>
      </c>
      <c r="J365" s="21"/>
    </row>
    <row r="366" spans="2:10" x14ac:dyDescent="0.35">
      <c r="B366" s="12">
        <v>361</v>
      </c>
      <c r="C366" s="17"/>
      <c r="D366" s="17"/>
      <c r="E366" s="17"/>
      <c r="F366" s="165"/>
      <c r="G366" s="165"/>
      <c r="H366" s="17"/>
      <c r="I366" s="160">
        <f t="shared" si="5"/>
        <v>0</v>
      </c>
      <c r="J366" s="21"/>
    </row>
    <row r="367" spans="2:10" x14ac:dyDescent="0.35">
      <c r="B367" s="12">
        <v>362</v>
      </c>
      <c r="C367" s="17"/>
      <c r="D367" s="17"/>
      <c r="E367" s="17"/>
      <c r="F367" s="165"/>
      <c r="G367" s="165"/>
      <c r="H367" s="17"/>
      <c r="I367" s="160">
        <f t="shared" si="5"/>
        <v>0</v>
      </c>
      <c r="J367" s="21"/>
    </row>
    <row r="368" spans="2:10" x14ac:dyDescent="0.35">
      <c r="B368" s="12">
        <v>363</v>
      </c>
      <c r="C368" s="17"/>
      <c r="D368" s="17"/>
      <c r="E368" s="17"/>
      <c r="F368" s="165"/>
      <c r="G368" s="165"/>
      <c r="H368" s="17"/>
      <c r="I368" s="160">
        <f t="shared" si="5"/>
        <v>0</v>
      </c>
      <c r="J368" s="21"/>
    </row>
    <row r="369" spans="2:10" x14ac:dyDescent="0.35">
      <c r="B369" s="12">
        <v>364</v>
      </c>
      <c r="C369" s="17"/>
      <c r="D369" s="17"/>
      <c r="E369" s="17"/>
      <c r="F369" s="165"/>
      <c r="G369" s="165"/>
      <c r="H369" s="17"/>
      <c r="I369" s="160">
        <f t="shared" si="5"/>
        <v>0</v>
      </c>
      <c r="J369" s="21"/>
    </row>
    <row r="370" spans="2:10" x14ac:dyDescent="0.35">
      <c r="B370" s="12">
        <v>365</v>
      </c>
      <c r="C370" s="17"/>
      <c r="D370" s="17"/>
      <c r="E370" s="17"/>
      <c r="F370" s="165"/>
      <c r="G370" s="165"/>
      <c r="H370" s="17"/>
      <c r="I370" s="160">
        <f t="shared" si="5"/>
        <v>0</v>
      </c>
      <c r="J370" s="21"/>
    </row>
    <row r="371" spans="2:10" x14ac:dyDescent="0.35">
      <c r="B371" s="12">
        <v>366</v>
      </c>
      <c r="C371" s="17"/>
      <c r="D371" s="17"/>
      <c r="E371" s="17"/>
      <c r="F371" s="165"/>
      <c r="G371" s="165"/>
      <c r="H371" s="17"/>
      <c r="I371" s="160">
        <f t="shared" si="5"/>
        <v>0</v>
      </c>
      <c r="J371" s="21"/>
    </row>
    <row r="372" spans="2:10" x14ac:dyDescent="0.35">
      <c r="B372" s="12">
        <v>367</v>
      </c>
      <c r="C372" s="17"/>
      <c r="D372" s="17"/>
      <c r="E372" s="17"/>
      <c r="F372" s="165"/>
      <c r="G372" s="165"/>
      <c r="H372" s="17"/>
      <c r="I372" s="160">
        <f t="shared" si="5"/>
        <v>0</v>
      </c>
      <c r="J372" s="21"/>
    </row>
    <row r="373" spans="2:10" x14ac:dyDescent="0.35">
      <c r="B373" s="12">
        <v>368</v>
      </c>
      <c r="C373" s="17"/>
      <c r="D373" s="17"/>
      <c r="E373" s="17"/>
      <c r="F373" s="165"/>
      <c r="G373" s="165"/>
      <c r="H373" s="17"/>
      <c r="I373" s="160">
        <f t="shared" si="5"/>
        <v>0</v>
      </c>
      <c r="J373" s="21"/>
    </row>
    <row r="374" spans="2:10" x14ac:dyDescent="0.35">
      <c r="B374" s="12">
        <v>369</v>
      </c>
      <c r="C374" s="17"/>
      <c r="D374" s="17"/>
      <c r="E374" s="17"/>
      <c r="F374" s="165"/>
      <c r="G374" s="165"/>
      <c r="H374" s="17"/>
      <c r="I374" s="160">
        <f t="shared" si="5"/>
        <v>0</v>
      </c>
      <c r="J374" s="21"/>
    </row>
    <row r="375" spans="2:10" x14ac:dyDescent="0.35">
      <c r="B375" s="12">
        <v>370</v>
      </c>
      <c r="C375" s="17"/>
      <c r="D375" s="17"/>
      <c r="E375" s="17"/>
      <c r="F375" s="165"/>
      <c r="G375" s="165"/>
      <c r="H375" s="17"/>
      <c r="I375" s="160">
        <f t="shared" si="5"/>
        <v>0</v>
      </c>
      <c r="J375" s="21"/>
    </row>
    <row r="376" spans="2:10" x14ac:dyDescent="0.35">
      <c r="B376" s="12">
        <v>371</v>
      </c>
      <c r="C376" s="17"/>
      <c r="D376" s="17"/>
      <c r="E376" s="17"/>
      <c r="F376" s="165"/>
      <c r="G376" s="165"/>
      <c r="H376" s="17"/>
      <c r="I376" s="160">
        <f t="shared" si="5"/>
        <v>0</v>
      </c>
      <c r="J376" s="21"/>
    </row>
    <row r="377" spans="2:10" x14ac:dyDescent="0.35">
      <c r="B377" s="12">
        <v>372</v>
      </c>
      <c r="C377" s="17"/>
      <c r="D377" s="17"/>
      <c r="E377" s="17"/>
      <c r="F377" s="165"/>
      <c r="G377" s="165"/>
      <c r="H377" s="17"/>
      <c r="I377" s="160">
        <f t="shared" si="5"/>
        <v>0</v>
      </c>
      <c r="J377" s="21"/>
    </row>
    <row r="378" spans="2:10" x14ac:dyDescent="0.35">
      <c r="B378" s="12">
        <v>373</v>
      </c>
      <c r="C378" s="17"/>
      <c r="D378" s="17"/>
      <c r="E378" s="17"/>
      <c r="F378" s="165"/>
      <c r="G378" s="165"/>
      <c r="H378" s="17"/>
      <c r="I378" s="160">
        <f t="shared" si="5"/>
        <v>0</v>
      </c>
      <c r="J378" s="21"/>
    </row>
    <row r="379" spans="2:10" x14ac:dyDescent="0.35">
      <c r="B379" s="12">
        <v>374</v>
      </c>
      <c r="C379" s="17"/>
      <c r="D379" s="17"/>
      <c r="E379" s="17"/>
      <c r="F379" s="165"/>
      <c r="G379" s="165"/>
      <c r="H379" s="17"/>
      <c r="I379" s="160">
        <f t="shared" si="5"/>
        <v>0</v>
      </c>
      <c r="J379" s="21"/>
    </row>
    <row r="380" spans="2:10" x14ac:dyDescent="0.35">
      <c r="B380" s="12">
        <v>375</v>
      </c>
      <c r="C380" s="17"/>
      <c r="D380" s="17"/>
      <c r="E380" s="17"/>
      <c r="F380" s="165"/>
      <c r="G380" s="165"/>
      <c r="H380" s="17"/>
      <c r="I380" s="160">
        <f t="shared" si="5"/>
        <v>0</v>
      </c>
      <c r="J380" s="21"/>
    </row>
    <row r="381" spans="2:10" x14ac:dyDescent="0.35">
      <c r="B381" s="12">
        <v>376</v>
      </c>
      <c r="C381" s="17"/>
      <c r="D381" s="17"/>
      <c r="E381" s="17"/>
      <c r="F381" s="165"/>
      <c r="G381" s="165"/>
      <c r="H381" s="17"/>
      <c r="I381" s="160">
        <f t="shared" si="5"/>
        <v>0</v>
      </c>
      <c r="J381" s="21"/>
    </row>
    <row r="382" spans="2:10" x14ac:dyDescent="0.35">
      <c r="B382" s="12">
        <v>377</v>
      </c>
      <c r="C382" s="17"/>
      <c r="D382" s="17"/>
      <c r="E382" s="17"/>
      <c r="F382" s="165"/>
      <c r="G382" s="165"/>
      <c r="H382" s="17"/>
      <c r="I382" s="160">
        <f t="shared" si="5"/>
        <v>0</v>
      </c>
      <c r="J382" s="21"/>
    </row>
    <row r="383" spans="2:10" x14ac:dyDescent="0.35">
      <c r="B383" s="12">
        <v>378</v>
      </c>
      <c r="C383" s="17"/>
      <c r="D383" s="17"/>
      <c r="E383" s="17"/>
      <c r="F383" s="165"/>
      <c r="G383" s="165"/>
      <c r="H383" s="17"/>
      <c r="I383" s="160">
        <f t="shared" si="5"/>
        <v>0</v>
      </c>
      <c r="J383" s="21"/>
    </row>
    <row r="384" spans="2:10" x14ac:dyDescent="0.35">
      <c r="B384" s="12">
        <v>379</v>
      </c>
      <c r="C384" s="17"/>
      <c r="D384" s="17"/>
      <c r="E384" s="17"/>
      <c r="F384" s="165"/>
      <c r="G384" s="165"/>
      <c r="H384" s="17"/>
      <c r="I384" s="160">
        <f t="shared" si="5"/>
        <v>0</v>
      </c>
      <c r="J384" s="21"/>
    </row>
    <row r="385" spans="2:10" x14ac:dyDescent="0.35">
      <c r="B385" s="12">
        <v>380</v>
      </c>
      <c r="C385" s="17"/>
      <c r="D385" s="17"/>
      <c r="E385" s="17"/>
      <c r="F385" s="165"/>
      <c r="G385" s="165"/>
      <c r="H385" s="17"/>
      <c r="I385" s="160">
        <f t="shared" si="5"/>
        <v>0</v>
      </c>
      <c r="J385" s="21"/>
    </row>
    <row r="386" spans="2:10" x14ac:dyDescent="0.35">
      <c r="B386" s="12">
        <v>381</v>
      </c>
      <c r="C386" s="17"/>
      <c r="D386" s="17"/>
      <c r="E386" s="17"/>
      <c r="F386" s="165"/>
      <c r="G386" s="165"/>
      <c r="H386" s="17"/>
      <c r="I386" s="160">
        <f t="shared" si="5"/>
        <v>0</v>
      </c>
      <c r="J386" s="21"/>
    </row>
    <row r="387" spans="2:10" x14ac:dyDescent="0.35">
      <c r="B387" s="12">
        <v>382</v>
      </c>
      <c r="C387" s="17"/>
      <c r="D387" s="17"/>
      <c r="E387" s="17"/>
      <c r="F387" s="165"/>
      <c r="G387" s="165"/>
      <c r="H387" s="17"/>
      <c r="I387" s="160">
        <f t="shared" si="5"/>
        <v>0</v>
      </c>
      <c r="J387" s="21"/>
    </row>
    <row r="388" spans="2:10" x14ac:dyDescent="0.35">
      <c r="B388" s="12">
        <v>383</v>
      </c>
      <c r="C388" s="17"/>
      <c r="D388" s="17"/>
      <c r="E388" s="17"/>
      <c r="F388" s="165"/>
      <c r="G388" s="165"/>
      <c r="H388" s="17"/>
      <c r="I388" s="160">
        <f t="shared" si="5"/>
        <v>0</v>
      </c>
      <c r="J388" s="21"/>
    </row>
    <row r="389" spans="2:10" x14ac:dyDescent="0.35">
      <c r="B389" s="12">
        <v>384</v>
      </c>
      <c r="C389" s="17"/>
      <c r="D389" s="17"/>
      <c r="E389" s="17"/>
      <c r="F389" s="165"/>
      <c r="G389" s="165"/>
      <c r="H389" s="17"/>
      <c r="I389" s="160">
        <f t="shared" si="5"/>
        <v>0</v>
      </c>
      <c r="J389" s="21"/>
    </row>
    <row r="390" spans="2:10" x14ac:dyDescent="0.35">
      <c r="B390" s="12">
        <v>385</v>
      </c>
      <c r="C390" s="17"/>
      <c r="D390" s="17"/>
      <c r="E390" s="17"/>
      <c r="F390" s="165"/>
      <c r="G390" s="165"/>
      <c r="H390" s="17"/>
      <c r="I390" s="160">
        <f t="shared" si="5"/>
        <v>0</v>
      </c>
      <c r="J390" s="21"/>
    </row>
  </sheetData>
  <mergeCells count="5">
    <mergeCell ref="B1:J1"/>
    <mergeCell ref="B2:J2"/>
    <mergeCell ref="B3:D3"/>
    <mergeCell ref="B5:J5"/>
    <mergeCell ref="E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8A65"/>
  </sheetPr>
  <dimension ref="B1:G50"/>
  <sheetViews>
    <sheetView showGridLines="0" zoomScaleNormal="100" workbookViewId="0">
      <pane xSplit="1" ySplit="7" topLeftCell="K9" activePane="bottomRight" state="frozen"/>
      <selection pane="topRight" activeCell="B1" sqref="B1"/>
      <selection pane="bottomLeft" activeCell="A8" sqref="A8"/>
      <selection pane="bottomRight" activeCell="H2" sqref="H2"/>
    </sheetView>
  </sheetViews>
  <sheetFormatPr defaultColWidth="8.6328125" defaultRowHeight="14.5" x14ac:dyDescent="0.35"/>
  <cols>
    <col min="1" max="1" width="3" customWidth="1"/>
    <col min="2" max="2" width="12" customWidth="1"/>
    <col min="3" max="3" width="32" customWidth="1"/>
    <col min="4" max="4" width="22" customWidth="1"/>
    <col min="5" max="6" width="16" customWidth="1"/>
    <col min="7" max="7" width="11.90625" customWidth="1"/>
  </cols>
  <sheetData>
    <row r="1" spans="2:7" ht="30" customHeight="1" x14ac:dyDescent="0.35">
      <c r="B1" s="112" t="s">
        <v>86</v>
      </c>
      <c r="C1" s="112"/>
      <c r="D1" s="112"/>
      <c r="E1" s="112"/>
      <c r="F1" s="112"/>
    </row>
    <row r="2" spans="2:7" ht="18" customHeight="1" x14ac:dyDescent="0.35">
      <c r="B2" s="113" t="s">
        <v>87</v>
      </c>
      <c r="C2" s="113"/>
      <c r="D2" s="113"/>
      <c r="E2" s="113"/>
      <c r="F2" s="113"/>
    </row>
    <row r="3" spans="2:7" ht="24" customHeight="1" x14ac:dyDescent="0.35">
      <c r="B3" s="114" t="s">
        <v>88</v>
      </c>
      <c r="C3" s="114"/>
      <c r="D3" s="167">
        <f>SUM(F8:F200)</f>
        <v>425000</v>
      </c>
      <c r="E3" s="167"/>
      <c r="F3" s="167"/>
    </row>
    <row r="4" spans="2:7" ht="7.5" customHeight="1" x14ac:dyDescent="0.35"/>
    <row r="5" spans="2:7" ht="18" customHeight="1" x14ac:dyDescent="0.35">
      <c r="B5" s="97" t="s">
        <v>89</v>
      </c>
      <c r="C5" s="97"/>
      <c r="D5" s="97"/>
      <c r="E5" s="97"/>
      <c r="F5" s="97"/>
    </row>
    <row r="6" spans="2:7" ht="7.5" customHeight="1" x14ac:dyDescent="0.35"/>
    <row r="7" spans="2:7" ht="27.75" customHeight="1" x14ac:dyDescent="0.35">
      <c r="B7" s="22" t="s">
        <v>36</v>
      </c>
      <c r="C7" s="22" t="s">
        <v>37</v>
      </c>
      <c r="D7" s="22" t="s">
        <v>90</v>
      </c>
      <c r="E7" s="22" t="s">
        <v>91</v>
      </c>
      <c r="F7" s="22" t="s">
        <v>26</v>
      </c>
      <c r="G7" s="22" t="s">
        <v>43</v>
      </c>
    </row>
    <row r="8" spans="2:7" ht="19.5" customHeight="1" x14ac:dyDescent="0.35">
      <c r="B8" s="12">
        <v>1</v>
      </c>
      <c r="C8" s="166">
        <v>45662</v>
      </c>
      <c r="D8" s="20" t="s">
        <v>93</v>
      </c>
      <c r="E8" s="20" t="s">
        <v>94</v>
      </c>
      <c r="F8" s="168">
        <v>150000</v>
      </c>
      <c r="G8" s="23"/>
    </row>
    <row r="9" spans="2:7" ht="19.5" customHeight="1" x14ac:dyDescent="0.35">
      <c r="B9" s="12">
        <v>2</v>
      </c>
      <c r="C9" s="166">
        <v>45663</v>
      </c>
      <c r="D9" s="20" t="s">
        <v>95</v>
      </c>
      <c r="E9" s="20" t="s">
        <v>96</v>
      </c>
      <c r="F9" s="168">
        <v>45000</v>
      </c>
      <c r="G9" s="16"/>
    </row>
    <row r="10" spans="2:7" ht="19.5" customHeight="1" x14ac:dyDescent="0.35">
      <c r="B10" s="12">
        <v>3</v>
      </c>
      <c r="C10" s="166">
        <v>45664</v>
      </c>
      <c r="D10" s="20" t="s">
        <v>97</v>
      </c>
      <c r="E10" s="20" t="s">
        <v>96</v>
      </c>
      <c r="F10" s="168">
        <v>60000</v>
      </c>
      <c r="G10" s="23"/>
    </row>
    <row r="11" spans="2:7" ht="19.5" customHeight="1" x14ac:dyDescent="0.35">
      <c r="B11" s="12">
        <v>4</v>
      </c>
      <c r="C11" s="166">
        <v>45665</v>
      </c>
      <c r="D11" s="20" t="s">
        <v>98</v>
      </c>
      <c r="E11" s="20" t="s">
        <v>99</v>
      </c>
      <c r="F11" s="168">
        <v>50000</v>
      </c>
      <c r="G11" s="16"/>
    </row>
    <row r="12" spans="2:7" ht="19.5" customHeight="1" x14ac:dyDescent="0.35">
      <c r="B12" s="12">
        <v>5</v>
      </c>
      <c r="C12" s="166">
        <v>45666</v>
      </c>
      <c r="D12" s="20" t="s">
        <v>100</v>
      </c>
      <c r="E12" s="20" t="s">
        <v>96</v>
      </c>
      <c r="F12" s="168">
        <v>25000</v>
      </c>
      <c r="G12" s="23"/>
    </row>
    <row r="13" spans="2:7" ht="19.5" customHeight="1" x14ac:dyDescent="0.35">
      <c r="B13" s="12">
        <v>6</v>
      </c>
      <c r="C13" s="166">
        <v>45667</v>
      </c>
      <c r="D13" s="20" t="s">
        <v>101</v>
      </c>
      <c r="E13" s="20" t="s">
        <v>102</v>
      </c>
      <c r="F13" s="168">
        <v>80000</v>
      </c>
      <c r="G13" s="16"/>
    </row>
    <row r="14" spans="2:7" ht="19.5" customHeight="1" x14ac:dyDescent="0.35">
      <c r="B14" s="12">
        <v>7</v>
      </c>
      <c r="C14" s="166">
        <v>45668</v>
      </c>
      <c r="D14" s="20" t="s">
        <v>104</v>
      </c>
      <c r="E14" s="20" t="s">
        <v>105</v>
      </c>
      <c r="F14" s="168">
        <v>15000</v>
      </c>
      <c r="G14" s="23"/>
    </row>
    <row r="15" spans="2:7" ht="19.5" customHeight="1" x14ac:dyDescent="0.35">
      <c r="B15" s="12">
        <v>8</v>
      </c>
      <c r="C15" s="17"/>
      <c r="D15" s="17"/>
      <c r="E15" s="17"/>
      <c r="F15" s="169"/>
      <c r="G15" s="16"/>
    </row>
    <row r="16" spans="2:7" ht="19.5" customHeight="1" x14ac:dyDescent="0.35">
      <c r="B16" s="12">
        <v>9</v>
      </c>
      <c r="C16" s="17"/>
      <c r="D16" s="17"/>
      <c r="E16" s="17"/>
      <c r="F16" s="169"/>
      <c r="G16" s="23"/>
    </row>
    <row r="17" spans="2:7" ht="19.5" customHeight="1" x14ac:dyDescent="0.35">
      <c r="B17" s="12">
        <v>10</v>
      </c>
      <c r="C17" s="17"/>
      <c r="D17" s="17"/>
      <c r="E17" s="17"/>
      <c r="F17" s="169"/>
      <c r="G17" s="16"/>
    </row>
    <row r="18" spans="2:7" ht="19.5" customHeight="1" x14ac:dyDescent="0.35">
      <c r="B18" s="12">
        <v>11</v>
      </c>
      <c r="C18" s="17"/>
      <c r="D18" s="17"/>
      <c r="E18" s="17"/>
      <c r="F18" s="169"/>
      <c r="G18" s="23"/>
    </row>
    <row r="19" spans="2:7" ht="19.5" customHeight="1" x14ac:dyDescent="0.35">
      <c r="B19" s="12">
        <v>12</v>
      </c>
      <c r="C19" s="17"/>
      <c r="D19" s="17"/>
      <c r="E19" s="17"/>
      <c r="F19" s="169"/>
      <c r="G19" s="16"/>
    </row>
    <row r="20" spans="2:7" ht="19.5" customHeight="1" x14ac:dyDescent="0.35">
      <c r="B20" s="12">
        <v>13</v>
      </c>
      <c r="C20" s="17"/>
      <c r="D20" s="17"/>
      <c r="E20" s="17"/>
      <c r="F20" s="169"/>
      <c r="G20" s="23"/>
    </row>
    <row r="21" spans="2:7" ht="19.5" customHeight="1" x14ac:dyDescent="0.35">
      <c r="B21" s="12">
        <v>14</v>
      </c>
      <c r="C21" s="17"/>
      <c r="D21" s="17"/>
      <c r="E21" s="17"/>
      <c r="F21" s="169"/>
      <c r="G21" s="16"/>
    </row>
    <row r="22" spans="2:7" ht="19.5" customHeight="1" x14ac:dyDescent="0.35">
      <c r="B22" s="12">
        <v>15</v>
      </c>
      <c r="C22" s="17"/>
      <c r="D22" s="17"/>
      <c r="E22" s="17"/>
      <c r="F22" s="169"/>
      <c r="G22" s="23"/>
    </row>
    <row r="23" spans="2:7" ht="19.5" customHeight="1" x14ac:dyDescent="0.35">
      <c r="B23" s="12">
        <v>16</v>
      </c>
      <c r="C23" s="17"/>
      <c r="D23" s="17"/>
      <c r="E23" s="17"/>
      <c r="F23" s="169"/>
      <c r="G23" s="16"/>
    </row>
    <row r="24" spans="2:7" ht="19.5" customHeight="1" x14ac:dyDescent="0.35">
      <c r="B24" s="12">
        <v>17</v>
      </c>
      <c r="C24" s="17"/>
      <c r="D24" s="17"/>
      <c r="E24" s="17"/>
      <c r="F24" s="169"/>
      <c r="G24" s="23"/>
    </row>
    <row r="25" spans="2:7" ht="19.5" customHeight="1" x14ac:dyDescent="0.35">
      <c r="B25" s="12">
        <v>18</v>
      </c>
      <c r="C25" s="17"/>
      <c r="D25" s="17"/>
      <c r="E25" s="17"/>
      <c r="F25" s="169"/>
      <c r="G25" s="16"/>
    </row>
    <row r="26" spans="2:7" ht="19.5" customHeight="1" x14ac:dyDescent="0.35">
      <c r="B26" s="12">
        <v>19</v>
      </c>
      <c r="C26" s="17"/>
      <c r="D26" s="17"/>
      <c r="E26" s="17"/>
      <c r="F26" s="169"/>
      <c r="G26" s="23"/>
    </row>
    <row r="27" spans="2:7" ht="19.5" customHeight="1" x14ac:dyDescent="0.35">
      <c r="B27" s="12">
        <v>20</v>
      </c>
      <c r="C27" s="17"/>
      <c r="D27" s="17"/>
      <c r="E27" s="17"/>
      <c r="F27" s="169"/>
      <c r="G27" s="16"/>
    </row>
    <row r="28" spans="2:7" ht="19.5" customHeight="1" x14ac:dyDescent="0.35">
      <c r="B28" s="12">
        <v>21</v>
      </c>
      <c r="C28" s="17"/>
      <c r="D28" s="17"/>
      <c r="E28" s="17"/>
      <c r="F28" s="169"/>
      <c r="G28" s="23"/>
    </row>
    <row r="29" spans="2:7" ht="19.5" customHeight="1" x14ac:dyDescent="0.35">
      <c r="B29" s="12">
        <v>22</v>
      </c>
      <c r="C29" s="17"/>
      <c r="D29" s="17"/>
      <c r="E29" s="17"/>
      <c r="F29" s="169"/>
      <c r="G29" s="16"/>
    </row>
    <row r="30" spans="2:7" ht="19.5" customHeight="1" x14ac:dyDescent="0.35">
      <c r="B30" s="12">
        <v>23</v>
      </c>
      <c r="C30" s="17"/>
      <c r="D30" s="17"/>
      <c r="E30" s="17"/>
      <c r="F30" s="169"/>
      <c r="G30" s="23"/>
    </row>
    <row r="31" spans="2:7" ht="19.5" customHeight="1" x14ac:dyDescent="0.35">
      <c r="B31" s="12">
        <v>24</v>
      </c>
      <c r="C31" s="17"/>
      <c r="D31" s="17"/>
      <c r="E31" s="17"/>
      <c r="F31" s="169"/>
      <c r="G31" s="16"/>
    </row>
    <row r="32" spans="2:7" ht="19.5" customHeight="1" x14ac:dyDescent="0.35">
      <c r="B32" s="12">
        <v>25</v>
      </c>
      <c r="C32" s="17"/>
      <c r="D32" s="17"/>
      <c r="E32" s="17"/>
      <c r="F32" s="169"/>
      <c r="G32" s="23"/>
    </row>
    <row r="33" spans="2:7" ht="19.5" customHeight="1" x14ac:dyDescent="0.35">
      <c r="B33" s="12">
        <v>26</v>
      </c>
      <c r="C33" s="17"/>
      <c r="D33" s="17"/>
      <c r="E33" s="17"/>
      <c r="F33" s="169"/>
      <c r="G33" s="16"/>
    </row>
    <row r="34" spans="2:7" ht="19.5" customHeight="1" x14ac:dyDescent="0.35">
      <c r="B34" s="12">
        <v>27</v>
      </c>
      <c r="C34" s="17"/>
      <c r="D34" s="17"/>
      <c r="E34" s="17"/>
      <c r="F34" s="169"/>
      <c r="G34" s="23"/>
    </row>
    <row r="35" spans="2:7" ht="19.5" customHeight="1" x14ac:dyDescent="0.35">
      <c r="B35" s="12">
        <v>28</v>
      </c>
      <c r="C35" s="17"/>
      <c r="D35" s="17"/>
      <c r="E35" s="17"/>
      <c r="F35" s="169"/>
      <c r="G35" s="16"/>
    </row>
    <row r="36" spans="2:7" ht="19.5" customHeight="1" x14ac:dyDescent="0.35">
      <c r="B36" s="12">
        <v>29</v>
      </c>
      <c r="C36" s="17"/>
      <c r="D36" s="17"/>
      <c r="E36" s="17"/>
      <c r="F36" s="169"/>
      <c r="G36" s="23"/>
    </row>
    <row r="37" spans="2:7" ht="19.5" customHeight="1" x14ac:dyDescent="0.35">
      <c r="B37" s="12">
        <v>30</v>
      </c>
      <c r="C37" s="17"/>
      <c r="D37" s="17"/>
      <c r="E37" s="17"/>
      <c r="F37" s="169"/>
      <c r="G37" s="16"/>
    </row>
    <row r="38" spans="2:7" ht="19.5" customHeight="1" x14ac:dyDescent="0.35">
      <c r="B38" s="12">
        <v>31</v>
      </c>
      <c r="C38" s="17"/>
      <c r="D38" s="17"/>
      <c r="E38" s="17"/>
      <c r="F38" s="169"/>
      <c r="G38" s="23"/>
    </row>
    <row r="39" spans="2:7" ht="19.5" customHeight="1" x14ac:dyDescent="0.35">
      <c r="B39" s="12">
        <v>32</v>
      </c>
      <c r="C39" s="17"/>
      <c r="D39" s="17"/>
      <c r="E39" s="17"/>
      <c r="F39" s="169"/>
      <c r="G39" s="16"/>
    </row>
    <row r="40" spans="2:7" ht="19.5" customHeight="1" x14ac:dyDescent="0.35">
      <c r="B40" s="12">
        <v>33</v>
      </c>
      <c r="C40" s="17"/>
      <c r="D40" s="17"/>
      <c r="E40" s="17"/>
      <c r="F40" s="169"/>
      <c r="G40" s="23"/>
    </row>
    <row r="41" spans="2:7" ht="19.5" customHeight="1" x14ac:dyDescent="0.35">
      <c r="B41" s="12">
        <v>34</v>
      </c>
      <c r="C41" s="17"/>
      <c r="D41" s="17"/>
      <c r="E41" s="17"/>
      <c r="F41" s="169"/>
      <c r="G41" s="16"/>
    </row>
    <row r="42" spans="2:7" ht="19.5" customHeight="1" x14ac:dyDescent="0.35">
      <c r="B42" s="12">
        <v>35</v>
      </c>
      <c r="C42" s="17"/>
      <c r="D42" s="17"/>
      <c r="E42" s="17"/>
      <c r="F42" s="169"/>
      <c r="G42" s="23"/>
    </row>
    <row r="43" spans="2:7" ht="19.5" customHeight="1" x14ac:dyDescent="0.35">
      <c r="B43" s="12">
        <v>36</v>
      </c>
      <c r="C43" s="17"/>
      <c r="D43" s="17"/>
      <c r="E43" s="17"/>
      <c r="F43" s="169"/>
      <c r="G43" s="16"/>
    </row>
    <row r="44" spans="2:7" ht="19.5" customHeight="1" x14ac:dyDescent="0.35">
      <c r="B44" s="12">
        <v>37</v>
      </c>
      <c r="C44" s="17"/>
      <c r="D44" s="17"/>
      <c r="E44" s="17"/>
      <c r="F44" s="169"/>
      <c r="G44" s="23"/>
    </row>
    <row r="45" spans="2:7" ht="19.5" customHeight="1" x14ac:dyDescent="0.35">
      <c r="B45" s="12">
        <v>38</v>
      </c>
      <c r="C45" s="17"/>
      <c r="D45" s="17"/>
      <c r="E45" s="17"/>
      <c r="F45" s="169"/>
      <c r="G45" s="16"/>
    </row>
    <row r="46" spans="2:7" ht="19.5" customHeight="1" x14ac:dyDescent="0.35">
      <c r="B46" s="12">
        <v>39</v>
      </c>
      <c r="C46" s="17"/>
      <c r="D46" s="17"/>
      <c r="E46" s="17"/>
      <c r="F46" s="169"/>
      <c r="G46" s="23"/>
    </row>
    <row r="47" spans="2:7" ht="19.5" customHeight="1" x14ac:dyDescent="0.35">
      <c r="B47" s="12">
        <v>40</v>
      </c>
      <c r="C47" s="17"/>
      <c r="D47" s="17"/>
      <c r="E47" s="17"/>
      <c r="F47" s="169"/>
      <c r="G47" s="16"/>
    </row>
    <row r="48" spans="2:7" ht="19.5" customHeight="1" x14ac:dyDescent="0.35">
      <c r="B48" s="12">
        <v>41</v>
      </c>
      <c r="C48" s="17"/>
      <c r="D48" s="17"/>
      <c r="E48" s="17"/>
      <c r="F48" s="169"/>
      <c r="G48" s="23"/>
    </row>
    <row r="49" spans="2:7" ht="19.5" customHeight="1" x14ac:dyDescent="0.35">
      <c r="B49" s="12">
        <v>42</v>
      </c>
      <c r="C49" s="17"/>
      <c r="D49" s="17"/>
      <c r="E49" s="17"/>
      <c r="F49" s="169"/>
      <c r="G49" s="16"/>
    </row>
    <row r="50" spans="2:7" ht="19.5" customHeight="1" x14ac:dyDescent="0.35">
      <c r="B50" s="12">
        <v>43</v>
      </c>
      <c r="C50" s="17"/>
      <c r="D50" s="17"/>
      <c r="E50" s="17"/>
      <c r="F50" s="169"/>
      <c r="G50" s="23"/>
    </row>
  </sheetData>
  <mergeCells count="5">
    <mergeCell ref="B1:F1"/>
    <mergeCell ref="B2:F2"/>
    <mergeCell ref="B3:C3"/>
    <mergeCell ref="D3:F3"/>
    <mergeCell ref="B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B1FA2"/>
  </sheetPr>
  <dimension ref="B1:D32"/>
  <sheetViews>
    <sheetView showGridLines="0" zoomScale="72" zoomScaleNormal="100" workbookViewId="0">
      <pane xSplit="1" ySplit="3" topLeftCell="B6" activePane="bottomRight" state="frozen"/>
      <selection pane="topRight" activeCell="B1" sqref="B1"/>
      <selection pane="bottomLeft" activeCell="A4" sqref="A4"/>
      <selection pane="bottomRight" activeCell="G7" sqref="G7"/>
    </sheetView>
  </sheetViews>
  <sheetFormatPr defaultColWidth="8.6328125" defaultRowHeight="14.5" x14ac:dyDescent="0.35"/>
  <cols>
    <col min="1" max="1" width="3" customWidth="1"/>
    <col min="2" max="2" width="36" customWidth="1"/>
    <col min="3" max="3" width="20" customWidth="1"/>
    <col min="4" max="4" width="22.26953125" customWidth="1"/>
    <col min="5" max="5" width="5" customWidth="1"/>
  </cols>
  <sheetData>
    <row r="1" spans="2:4" ht="30" customHeight="1" x14ac:dyDescent="0.35">
      <c r="B1" s="110" t="s">
        <v>106</v>
      </c>
      <c r="C1" s="110"/>
      <c r="D1" s="110"/>
    </row>
    <row r="2" spans="2:4" ht="18" customHeight="1" x14ac:dyDescent="0.35">
      <c r="B2" s="108" t="s">
        <v>107</v>
      </c>
      <c r="C2" s="108"/>
      <c r="D2" s="108"/>
    </row>
    <row r="3" spans="2:4" ht="7.5" customHeight="1" x14ac:dyDescent="0.35"/>
    <row r="4" spans="2:4" ht="21.75" customHeight="1" x14ac:dyDescent="0.35">
      <c r="B4" s="123" t="s">
        <v>108</v>
      </c>
      <c r="C4" s="123"/>
      <c r="D4" s="24"/>
    </row>
    <row r="5" spans="2:4" ht="21.75" customHeight="1" x14ac:dyDescent="0.35">
      <c r="B5" s="126" t="s">
        <v>109</v>
      </c>
      <c r="C5" s="126"/>
      <c r="D5" s="170">
        <f>'📦 Pesanan'!D3</f>
        <v>5725000</v>
      </c>
    </row>
    <row r="6" spans="2:4" ht="21.75" customHeight="1" x14ac:dyDescent="0.35">
      <c r="B6" s="126" t="s">
        <v>110</v>
      </c>
      <c r="C6" s="126"/>
      <c r="D6" s="170">
        <v>0</v>
      </c>
    </row>
    <row r="7" spans="2:4" ht="25.5" customHeight="1" x14ac:dyDescent="0.35">
      <c r="B7" s="123" t="s">
        <v>111</v>
      </c>
      <c r="C7" s="123"/>
      <c r="D7" s="171">
        <f>D5+D6</f>
        <v>5725000</v>
      </c>
    </row>
    <row r="8" spans="2:4" ht="7.5" customHeight="1" x14ac:dyDescent="0.35">
      <c r="B8" s="118"/>
      <c r="C8" s="118"/>
      <c r="D8" s="16"/>
    </row>
    <row r="9" spans="2:4" ht="21.75" customHeight="1" x14ac:dyDescent="0.35">
      <c r="B9" s="124" t="s">
        <v>112</v>
      </c>
      <c r="C9" s="124"/>
      <c r="D9" s="25"/>
    </row>
    <row r="10" spans="2:4" ht="21.75" customHeight="1" x14ac:dyDescent="0.35">
      <c r="B10" s="125" t="s">
        <v>113</v>
      </c>
      <c r="C10" s="125"/>
      <c r="D10" s="172">
        <f>'🛒 Belanja Bahan'!E3</f>
        <v>2377000</v>
      </c>
    </row>
    <row r="11" spans="2:4" ht="25.5" customHeight="1" x14ac:dyDescent="0.35">
      <c r="B11" s="124" t="s">
        <v>114</v>
      </c>
      <c r="C11" s="124"/>
      <c r="D11" s="173">
        <f>D10</f>
        <v>2377000</v>
      </c>
    </row>
    <row r="12" spans="2:4" ht="7.5" customHeight="1" x14ac:dyDescent="0.35">
      <c r="B12" s="118"/>
      <c r="C12" s="118"/>
      <c r="D12" s="16"/>
    </row>
    <row r="13" spans="2:4" ht="21.75" customHeight="1" x14ac:dyDescent="0.35">
      <c r="B13" s="121" t="s">
        <v>115</v>
      </c>
      <c r="C13" s="121"/>
      <c r="D13" s="26"/>
    </row>
    <row r="14" spans="2:4" ht="21.75" customHeight="1" x14ac:dyDescent="0.35">
      <c r="B14" s="122" t="s">
        <v>116</v>
      </c>
      <c r="C14" s="122"/>
      <c r="D14" s="174">
        <f>'💸 Biaya Lain'!D3</f>
        <v>425000</v>
      </c>
    </row>
    <row r="15" spans="2:4" ht="25.5" customHeight="1" x14ac:dyDescent="0.35">
      <c r="B15" s="121" t="s">
        <v>117</v>
      </c>
      <c r="C15" s="121"/>
      <c r="D15" s="175">
        <f>D14</f>
        <v>425000</v>
      </c>
    </row>
    <row r="16" spans="2:4" ht="7.5" customHeight="1" x14ac:dyDescent="0.35">
      <c r="B16" s="118"/>
      <c r="C16" s="118"/>
      <c r="D16" s="16"/>
    </row>
    <row r="17" spans="2:4" ht="21.75" customHeight="1" x14ac:dyDescent="0.35">
      <c r="B17" s="119" t="s">
        <v>118</v>
      </c>
      <c r="C17" s="119"/>
      <c r="D17" s="27"/>
    </row>
    <row r="18" spans="2:4" ht="21.75" customHeight="1" x14ac:dyDescent="0.35">
      <c r="B18" s="120" t="s">
        <v>119</v>
      </c>
      <c r="C18" s="120"/>
      <c r="D18" s="176">
        <f>D11</f>
        <v>2377000</v>
      </c>
    </row>
    <row r="19" spans="2:4" ht="21.75" customHeight="1" x14ac:dyDescent="0.35">
      <c r="B19" s="120" t="s">
        <v>120</v>
      </c>
      <c r="C19" s="120"/>
      <c r="D19" s="176">
        <f>D15</f>
        <v>425000</v>
      </c>
    </row>
    <row r="20" spans="2:4" ht="25.5" customHeight="1" x14ac:dyDescent="0.35">
      <c r="B20" s="119" t="s">
        <v>121</v>
      </c>
      <c r="C20" s="119"/>
      <c r="D20" s="177">
        <f>D18+D19</f>
        <v>2802000</v>
      </c>
    </row>
    <row r="21" spans="2:4" ht="7.5" customHeight="1" x14ac:dyDescent="0.35">
      <c r="B21" s="118"/>
      <c r="C21" s="118"/>
      <c r="D21" s="16"/>
    </row>
    <row r="22" spans="2:4" ht="21.75" customHeight="1" x14ac:dyDescent="0.35">
      <c r="B22" s="116" t="s">
        <v>122</v>
      </c>
      <c r="C22" s="116"/>
      <c r="D22" s="28"/>
    </row>
    <row r="23" spans="2:4" ht="21.75" customHeight="1" x14ac:dyDescent="0.35">
      <c r="B23" s="117" t="s">
        <v>123</v>
      </c>
      <c r="C23" s="117"/>
      <c r="D23" s="178">
        <f>D7</f>
        <v>5725000</v>
      </c>
    </row>
    <row r="24" spans="2:4" ht="21.75" customHeight="1" x14ac:dyDescent="0.35">
      <c r="B24" s="117" t="s">
        <v>124</v>
      </c>
      <c r="C24" s="117"/>
      <c r="D24" s="178">
        <f>D20</f>
        <v>2802000</v>
      </c>
    </row>
    <row r="25" spans="2:4" ht="33.75" customHeight="1" x14ac:dyDescent="0.35">
      <c r="B25" s="116" t="s">
        <v>125</v>
      </c>
      <c r="C25" s="116"/>
      <c r="D25" s="179">
        <f>D23-D24</f>
        <v>2923000</v>
      </c>
    </row>
    <row r="26" spans="2:4" ht="7.5" customHeight="1" x14ac:dyDescent="0.35">
      <c r="B26" s="118"/>
      <c r="C26" s="118"/>
      <c r="D26" s="16"/>
    </row>
    <row r="27" spans="2:4" ht="21.75" customHeight="1" x14ac:dyDescent="0.35">
      <c r="B27" s="115" t="s">
        <v>126</v>
      </c>
      <c r="C27" s="115"/>
      <c r="D27" s="29">
        <f>IF(D7&gt;0,D25/D7,0)</f>
        <v>0.5105676855895197</v>
      </c>
    </row>
    <row r="28" spans="2:4" ht="21.75" customHeight="1" x14ac:dyDescent="0.35">
      <c r="B28" s="115" t="s">
        <v>127</v>
      </c>
      <c r="C28" s="115"/>
      <c r="D28" s="17"/>
    </row>
    <row r="30" spans="2:4" ht="9.75" customHeight="1" x14ac:dyDescent="0.35"/>
    <row r="31" spans="2:4" ht="24" customHeight="1" x14ac:dyDescent="0.35">
      <c r="B31" s="106" t="s">
        <v>128</v>
      </c>
      <c r="C31" s="106"/>
      <c r="D31" s="106"/>
    </row>
    <row r="32" spans="2:4" ht="19.5" customHeight="1" x14ac:dyDescent="0.35">
      <c r="B32" s="180" t="str">
        <f>IF(D25&gt;0,"✅ Alhamdulillah! Bulan ini UNTUNG Rp "&amp;TEXT(D25,"#,##0")&amp;" — Lanjutkan terus!",IF(D25=0,"⚠️ Impas — Coba naikkan harga atau kurangi biaya bahan","🔴 Bulan ini RUGI "&amp;TEXT(ABS(D25),"#,##0")&amp;" — Cek biaya yang terlalu besar"))</f>
        <v>✅ Alhamdulillah! Bulan ini UNTUNG Rp 2923000,0 — Lanjutkan terus!</v>
      </c>
      <c r="C32" s="180"/>
      <c r="D32" s="180"/>
    </row>
  </sheetData>
  <mergeCells count="29">
    <mergeCell ref="B1:D1"/>
    <mergeCell ref="B2:D2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7:C27"/>
    <mergeCell ref="B28:C28"/>
    <mergeCell ref="B31:D31"/>
    <mergeCell ref="B32:D32"/>
    <mergeCell ref="B22:C22"/>
    <mergeCell ref="B23:C23"/>
    <mergeCell ref="B24:C24"/>
    <mergeCell ref="B25:C25"/>
    <mergeCell ref="B26:C2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7F17"/>
  </sheetPr>
  <dimension ref="B1:F31"/>
  <sheetViews>
    <sheetView showGridLines="0" zoomScale="78" zoomScaleNormal="100" workbookViewId="0">
      <pane xSplit="1" ySplit="3" topLeftCell="B20" activePane="bottomRight" state="frozen"/>
      <selection pane="topRight" activeCell="B1" sqref="B1"/>
      <selection pane="bottomLeft" activeCell="A4" sqref="A4"/>
      <selection pane="bottomRight" activeCell="N19" sqref="N19"/>
    </sheetView>
  </sheetViews>
  <sheetFormatPr defaultColWidth="8.6328125" defaultRowHeight="14.5" x14ac:dyDescent="0.35"/>
  <cols>
    <col min="1" max="1" width="3" customWidth="1"/>
    <col min="2" max="2" width="28" customWidth="1"/>
    <col min="3" max="3" width="18" customWidth="1"/>
    <col min="4" max="5" width="14" customWidth="1"/>
    <col min="6" max="6" width="16" customWidth="1"/>
    <col min="7" max="7" width="5" customWidth="1"/>
  </cols>
  <sheetData>
    <row r="1" spans="2:6" ht="30" customHeight="1" x14ac:dyDescent="0.35">
      <c r="B1" s="187" t="s">
        <v>129</v>
      </c>
      <c r="C1" s="187"/>
      <c r="D1" s="187"/>
      <c r="E1" s="187"/>
      <c r="F1" s="187"/>
    </row>
    <row r="2" spans="2:6" ht="18" customHeight="1" x14ac:dyDescent="0.35">
      <c r="B2" s="108" t="s">
        <v>130</v>
      </c>
      <c r="C2" s="108"/>
      <c r="D2" s="108"/>
      <c r="E2" s="108"/>
      <c r="F2" s="108"/>
    </row>
    <row r="3" spans="2:6" ht="7.5" customHeight="1" x14ac:dyDescent="0.35"/>
    <row r="4" spans="2:6" ht="25.5" customHeight="1" x14ac:dyDescent="0.35">
      <c r="B4" s="188" t="s">
        <v>402</v>
      </c>
      <c r="C4" s="188"/>
      <c r="D4" s="188"/>
      <c r="E4" s="188"/>
      <c r="F4" s="188"/>
    </row>
    <row r="5" spans="2:6" ht="19.5" customHeight="1" x14ac:dyDescent="0.35">
      <c r="B5" s="30" t="s">
        <v>131</v>
      </c>
      <c r="C5" s="30" t="s">
        <v>133</v>
      </c>
      <c r="D5" s="30" t="s">
        <v>132</v>
      </c>
      <c r="E5" s="30" t="s">
        <v>134</v>
      </c>
      <c r="F5" s="30" t="s">
        <v>134</v>
      </c>
    </row>
    <row r="6" spans="2:6" ht="18" customHeight="1" x14ac:dyDescent="0.35">
      <c r="B6" s="31" t="s">
        <v>403</v>
      </c>
      <c r="C6" s="32">
        <v>2</v>
      </c>
      <c r="D6" s="32" t="s">
        <v>397</v>
      </c>
      <c r="E6" s="186">
        <v>40000</v>
      </c>
      <c r="F6" s="194">
        <f>C6*E6</f>
        <v>80000</v>
      </c>
    </row>
    <row r="7" spans="2:6" ht="18" customHeight="1" x14ac:dyDescent="0.35">
      <c r="B7" s="31" t="s">
        <v>404</v>
      </c>
      <c r="C7" s="32">
        <v>200</v>
      </c>
      <c r="D7" s="32" t="s">
        <v>135</v>
      </c>
      <c r="E7" s="186">
        <v>11000</v>
      </c>
      <c r="F7" s="194">
        <v>11000</v>
      </c>
    </row>
    <row r="8" spans="2:6" ht="18" customHeight="1" x14ac:dyDescent="0.35">
      <c r="B8" s="31" t="s">
        <v>405</v>
      </c>
      <c r="C8" s="32">
        <v>1</v>
      </c>
      <c r="D8" s="32" t="s">
        <v>138</v>
      </c>
      <c r="E8" s="186">
        <v>3000</v>
      </c>
      <c r="F8" s="194">
        <f t="shared" ref="F7:F13" si="0">C8*E8</f>
        <v>3000</v>
      </c>
    </row>
    <row r="9" spans="2:6" ht="18" customHeight="1" x14ac:dyDescent="0.35">
      <c r="B9" s="31" t="s">
        <v>406</v>
      </c>
      <c r="C9" s="32">
        <v>2</v>
      </c>
      <c r="D9" s="32" t="s">
        <v>138</v>
      </c>
      <c r="E9" s="186">
        <v>3000</v>
      </c>
      <c r="F9" s="194">
        <f t="shared" si="0"/>
        <v>6000</v>
      </c>
    </row>
    <row r="10" spans="2:6" ht="18" customHeight="1" x14ac:dyDescent="0.35">
      <c r="B10" s="31" t="s">
        <v>407</v>
      </c>
      <c r="C10" s="32">
        <v>2</v>
      </c>
      <c r="D10" s="32" t="s">
        <v>408</v>
      </c>
      <c r="E10" s="186">
        <v>2000</v>
      </c>
      <c r="F10" s="194">
        <f t="shared" si="0"/>
        <v>4000</v>
      </c>
    </row>
    <row r="11" spans="2:6" ht="18" customHeight="1" x14ac:dyDescent="0.35">
      <c r="B11" s="31" t="s">
        <v>136</v>
      </c>
      <c r="C11" s="32">
        <v>500</v>
      </c>
      <c r="D11" s="32" t="s">
        <v>137</v>
      </c>
      <c r="E11" s="186">
        <v>8000</v>
      </c>
      <c r="F11" s="194">
        <v>8000</v>
      </c>
    </row>
    <row r="12" spans="2:6" ht="18" customHeight="1" x14ac:dyDescent="0.35">
      <c r="B12" s="31" t="s">
        <v>409</v>
      </c>
      <c r="C12" s="32">
        <v>1</v>
      </c>
      <c r="D12" s="32" t="s">
        <v>410</v>
      </c>
      <c r="E12" s="186">
        <v>15000</v>
      </c>
      <c r="F12" s="194">
        <f t="shared" si="0"/>
        <v>15000</v>
      </c>
    </row>
    <row r="13" spans="2:6" ht="18" customHeight="1" x14ac:dyDescent="0.35">
      <c r="B13" s="31" t="s">
        <v>411</v>
      </c>
      <c r="C13" s="32">
        <v>10</v>
      </c>
      <c r="D13" s="32" t="s">
        <v>138</v>
      </c>
      <c r="E13" s="186">
        <v>2000</v>
      </c>
      <c r="F13" s="194">
        <f t="shared" si="0"/>
        <v>20000</v>
      </c>
    </row>
    <row r="14" spans="2:6" ht="21.75" customHeight="1" x14ac:dyDescent="0.35">
      <c r="B14" s="128" t="s">
        <v>412</v>
      </c>
      <c r="C14" s="128"/>
      <c r="D14" s="128"/>
      <c r="E14" s="82"/>
      <c r="F14" s="182">
        <f>SUM(F6:F13)</f>
        <v>147000</v>
      </c>
    </row>
    <row r="15" spans="2:6" ht="21.75" customHeight="1" x14ac:dyDescent="0.35">
      <c r="B15" s="189" t="s">
        <v>413</v>
      </c>
      <c r="C15" s="190"/>
      <c r="D15" s="190"/>
      <c r="E15" s="190"/>
      <c r="F15" s="191">
        <v>10</v>
      </c>
    </row>
    <row r="16" spans="2:6" ht="21.75" customHeight="1" x14ac:dyDescent="0.35">
      <c r="B16" s="129" t="s">
        <v>414</v>
      </c>
      <c r="C16" s="129"/>
      <c r="D16" s="129"/>
      <c r="E16" s="83"/>
      <c r="F16" s="183">
        <v>18000</v>
      </c>
    </row>
    <row r="17" spans="2:6" ht="21.75" customHeight="1" x14ac:dyDescent="0.35">
      <c r="B17" s="192" t="s">
        <v>415</v>
      </c>
      <c r="C17" s="192"/>
      <c r="D17" s="192"/>
      <c r="E17" s="192"/>
      <c r="F17" s="193">
        <f>F16*F15</f>
        <v>180000</v>
      </c>
    </row>
    <row r="18" spans="2:6" ht="21.75" customHeight="1" x14ac:dyDescent="0.35">
      <c r="B18" s="127" t="s">
        <v>416</v>
      </c>
      <c r="C18" s="127"/>
      <c r="D18" s="127"/>
      <c r="E18" s="84"/>
      <c r="F18" s="184">
        <f>F17-F14</f>
        <v>33000</v>
      </c>
    </row>
    <row r="20" spans="2:6" ht="25.5" customHeight="1" x14ac:dyDescent="0.35">
      <c r="B20" s="106" t="s">
        <v>142</v>
      </c>
      <c r="C20" s="106"/>
      <c r="D20" s="106"/>
      <c r="E20" s="106"/>
      <c r="F20" s="106"/>
    </row>
    <row r="21" spans="2:6" ht="19.5" customHeight="1" x14ac:dyDescent="0.35">
      <c r="B21" s="30" t="s">
        <v>131</v>
      </c>
      <c r="C21" s="30" t="s">
        <v>132</v>
      </c>
      <c r="D21" s="30" t="s">
        <v>133</v>
      </c>
      <c r="E21" s="195" t="s">
        <v>417</v>
      </c>
      <c r="F21" s="196"/>
    </row>
    <row r="22" spans="2:6" ht="18" customHeight="1" x14ac:dyDescent="0.35">
      <c r="B22" s="31" t="s">
        <v>74</v>
      </c>
      <c r="C22" s="32" t="s">
        <v>135</v>
      </c>
      <c r="D22" s="32">
        <v>250</v>
      </c>
      <c r="E22" s="197">
        <v>3000</v>
      </c>
      <c r="F22" s="198"/>
    </row>
    <row r="23" spans="2:6" ht="18" customHeight="1" x14ac:dyDescent="0.35">
      <c r="B23" s="31" t="s">
        <v>76</v>
      </c>
      <c r="C23" s="32" t="s">
        <v>135</v>
      </c>
      <c r="D23" s="32">
        <v>200</v>
      </c>
      <c r="E23" s="197">
        <v>2800</v>
      </c>
      <c r="F23" s="198"/>
    </row>
    <row r="24" spans="2:6" ht="18" customHeight="1" x14ac:dyDescent="0.35">
      <c r="B24" s="31" t="s">
        <v>77</v>
      </c>
      <c r="C24" s="32" t="s">
        <v>135</v>
      </c>
      <c r="D24" s="32">
        <v>150</v>
      </c>
      <c r="E24" s="197">
        <v>4500</v>
      </c>
      <c r="F24" s="198"/>
    </row>
    <row r="25" spans="2:6" ht="18" customHeight="1" x14ac:dyDescent="0.35">
      <c r="B25" s="31" t="s">
        <v>143</v>
      </c>
      <c r="C25" s="32" t="s">
        <v>144</v>
      </c>
      <c r="D25" s="32">
        <v>4</v>
      </c>
      <c r="E25" s="197">
        <v>8000</v>
      </c>
      <c r="F25" s="198"/>
    </row>
    <row r="26" spans="2:6" ht="18" customHeight="1" x14ac:dyDescent="0.35">
      <c r="B26" s="31" t="s">
        <v>84</v>
      </c>
      <c r="C26" s="32" t="s">
        <v>135</v>
      </c>
      <c r="D26" s="32">
        <v>50</v>
      </c>
      <c r="E26" s="197">
        <v>5000</v>
      </c>
      <c r="F26" s="198"/>
    </row>
    <row r="27" spans="2:6" ht="18" customHeight="1" x14ac:dyDescent="0.35">
      <c r="B27" s="31" t="s">
        <v>145</v>
      </c>
      <c r="C27" s="32" t="s">
        <v>135</v>
      </c>
      <c r="D27" s="32">
        <v>100</v>
      </c>
      <c r="E27" s="197">
        <v>9000</v>
      </c>
      <c r="F27" s="198"/>
    </row>
    <row r="28" spans="2:6" ht="18" customHeight="1" x14ac:dyDescent="0.35">
      <c r="B28" s="31" t="s">
        <v>97</v>
      </c>
      <c r="C28" s="32" t="s">
        <v>138</v>
      </c>
      <c r="D28" s="32">
        <v>1</v>
      </c>
      <c r="E28" s="197">
        <v>5000</v>
      </c>
      <c r="F28" s="198"/>
    </row>
    <row r="29" spans="2:6" ht="21.75" customHeight="1" x14ac:dyDescent="0.35">
      <c r="B29" s="128" t="s">
        <v>139</v>
      </c>
      <c r="C29" s="128"/>
      <c r="D29" s="128"/>
      <c r="E29" s="199">
        <f>SUM(E22:F28)</f>
        <v>37300</v>
      </c>
      <c r="F29" s="200"/>
    </row>
    <row r="30" spans="2:6" ht="21.75" customHeight="1" x14ac:dyDescent="0.35">
      <c r="B30" s="129" t="s">
        <v>140</v>
      </c>
      <c r="C30" s="129"/>
      <c r="D30" s="129"/>
      <c r="E30" s="201">
        <v>50000</v>
      </c>
      <c r="F30" s="202"/>
    </row>
    <row r="31" spans="2:6" ht="21.75" customHeight="1" x14ac:dyDescent="0.35">
      <c r="B31" s="127" t="s">
        <v>141</v>
      </c>
      <c r="C31" s="127"/>
      <c r="D31" s="127"/>
      <c r="E31" s="203">
        <f>E30-E29</f>
        <v>12700</v>
      </c>
      <c r="F31" s="204"/>
    </row>
  </sheetData>
  <mergeCells count="20">
    <mergeCell ref="E31:F31"/>
    <mergeCell ref="B2:F2"/>
    <mergeCell ref="B4:F4"/>
    <mergeCell ref="B14:D14"/>
    <mergeCell ref="B16:D16"/>
    <mergeCell ref="B18:D18"/>
    <mergeCell ref="B20:F20"/>
    <mergeCell ref="B29:D29"/>
    <mergeCell ref="B30:D30"/>
    <mergeCell ref="B31:D31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91E8C"/>
  </sheetPr>
  <dimension ref="A1:D62"/>
  <sheetViews>
    <sheetView showGridLines="0" zoomScaleNormal="100" workbookViewId="0">
      <selection activeCell="B6" sqref="B6"/>
    </sheetView>
  </sheetViews>
  <sheetFormatPr defaultColWidth="8.6328125" defaultRowHeight="14.5" x14ac:dyDescent="0.35"/>
  <cols>
    <col min="1" max="1" width="18" customWidth="1"/>
    <col min="2" max="2" width="40.7265625" customWidth="1"/>
    <col min="3" max="4" width="18" customWidth="1"/>
  </cols>
  <sheetData>
    <row r="1" spans="1:2" ht="30" customHeight="1" x14ac:dyDescent="0.35">
      <c r="A1" s="110" t="s">
        <v>146</v>
      </c>
      <c r="B1" s="110"/>
    </row>
    <row r="2" spans="1:2" ht="18" customHeight="1" x14ac:dyDescent="0.35">
      <c r="A2" s="108" t="s">
        <v>147</v>
      </c>
      <c r="B2" s="108"/>
    </row>
    <row r="4" spans="1:2" ht="21.75" customHeight="1" x14ac:dyDescent="0.35">
      <c r="A4" s="34" t="s">
        <v>25</v>
      </c>
      <c r="B4" s="34" t="s">
        <v>26</v>
      </c>
    </row>
    <row r="5" spans="1:2" ht="19.5" customHeight="1" x14ac:dyDescent="0.35">
      <c r="A5" s="35" t="s">
        <v>148</v>
      </c>
      <c r="B5" s="185">
        <f>'📦 Pesanan'!D3</f>
        <v>5725000</v>
      </c>
    </row>
    <row r="6" spans="1:2" ht="19.5" customHeight="1" x14ac:dyDescent="0.35">
      <c r="A6" s="35" t="s">
        <v>149</v>
      </c>
      <c r="B6" s="185">
        <f>'🛒 Belanja Bahan'!E3</f>
        <v>2377000</v>
      </c>
    </row>
    <row r="7" spans="1:2" ht="19.5" customHeight="1" x14ac:dyDescent="0.35">
      <c r="A7" s="35" t="s">
        <v>150</v>
      </c>
      <c r="B7" s="185">
        <f>'💸 Biaya Lain'!D3</f>
        <v>425000</v>
      </c>
    </row>
    <row r="8" spans="1:2" ht="19.5" customHeight="1" x14ac:dyDescent="0.35">
      <c r="A8" s="35" t="s">
        <v>151</v>
      </c>
      <c r="B8" s="185">
        <f>'💰 Laporan'!D25</f>
        <v>2923000</v>
      </c>
    </row>
    <row r="50" spans="1:4" ht="21.75" customHeight="1" x14ac:dyDescent="0.35">
      <c r="A50" s="36" t="s">
        <v>152</v>
      </c>
      <c r="B50" s="36" t="s">
        <v>153</v>
      </c>
      <c r="C50" s="36" t="s">
        <v>154</v>
      </c>
      <c r="D50" s="36" t="s">
        <v>155</v>
      </c>
    </row>
    <row r="51" spans="1:4" ht="18" customHeight="1" x14ac:dyDescent="0.35">
      <c r="A51" s="31" t="s">
        <v>156</v>
      </c>
      <c r="B51" s="33">
        <v>0</v>
      </c>
      <c r="C51" s="33">
        <v>0</v>
      </c>
      <c r="D51" s="33">
        <v>0</v>
      </c>
    </row>
    <row r="52" spans="1:4" ht="18" customHeight="1" x14ac:dyDescent="0.35">
      <c r="A52" s="31" t="s">
        <v>157</v>
      </c>
      <c r="B52" s="33">
        <v>0</v>
      </c>
      <c r="C52" s="33">
        <v>0</v>
      </c>
      <c r="D52" s="33">
        <v>0</v>
      </c>
    </row>
    <row r="53" spans="1:4" ht="18" customHeight="1" x14ac:dyDescent="0.35">
      <c r="A53" s="31" t="s">
        <v>158</v>
      </c>
      <c r="B53" s="33">
        <v>0</v>
      </c>
      <c r="C53" s="33">
        <v>0</v>
      </c>
      <c r="D53" s="33">
        <v>0</v>
      </c>
    </row>
    <row r="54" spans="1:4" ht="18" customHeight="1" x14ac:dyDescent="0.35">
      <c r="A54" s="31" t="s">
        <v>159</v>
      </c>
      <c r="B54" s="33">
        <v>0</v>
      </c>
      <c r="C54" s="33">
        <v>0</v>
      </c>
      <c r="D54" s="33">
        <v>0</v>
      </c>
    </row>
    <row r="55" spans="1:4" ht="18" customHeight="1" x14ac:dyDescent="0.35">
      <c r="A55" s="31" t="s">
        <v>160</v>
      </c>
      <c r="B55" s="33">
        <v>0</v>
      </c>
      <c r="C55" s="33">
        <v>0</v>
      </c>
      <c r="D55" s="33">
        <v>0</v>
      </c>
    </row>
    <row r="56" spans="1:4" ht="18" customHeight="1" x14ac:dyDescent="0.35">
      <c r="A56" s="31" t="s">
        <v>161</v>
      </c>
      <c r="B56" s="33">
        <v>0</v>
      </c>
      <c r="C56" s="33">
        <v>0</v>
      </c>
      <c r="D56" s="33">
        <v>0</v>
      </c>
    </row>
    <row r="57" spans="1:4" ht="18" customHeight="1" x14ac:dyDescent="0.35">
      <c r="A57" s="31" t="s">
        <v>162</v>
      </c>
      <c r="B57" s="33">
        <v>0</v>
      </c>
      <c r="C57" s="33">
        <v>0</v>
      </c>
      <c r="D57" s="33">
        <v>0</v>
      </c>
    </row>
    <row r="58" spans="1:4" ht="18" customHeight="1" x14ac:dyDescent="0.35">
      <c r="A58" s="31" t="s">
        <v>163</v>
      </c>
      <c r="B58" s="33">
        <v>0</v>
      </c>
      <c r="C58" s="33">
        <v>0</v>
      </c>
      <c r="D58" s="33">
        <v>0</v>
      </c>
    </row>
    <row r="59" spans="1:4" ht="18" customHeight="1" x14ac:dyDescent="0.35">
      <c r="A59" s="31" t="s">
        <v>164</v>
      </c>
      <c r="B59" s="33">
        <v>0</v>
      </c>
      <c r="C59" s="33">
        <v>0</v>
      </c>
      <c r="D59" s="33">
        <v>0</v>
      </c>
    </row>
    <row r="60" spans="1:4" ht="18" customHeight="1" x14ac:dyDescent="0.35">
      <c r="A60" s="31" t="s">
        <v>165</v>
      </c>
      <c r="B60" s="33">
        <v>0</v>
      </c>
      <c r="C60" s="33">
        <v>0</v>
      </c>
      <c r="D60" s="33">
        <v>0</v>
      </c>
    </row>
    <row r="61" spans="1:4" ht="18" customHeight="1" x14ac:dyDescent="0.35">
      <c r="A61" s="31" t="s">
        <v>166</v>
      </c>
      <c r="B61" s="33">
        <v>0</v>
      </c>
      <c r="C61" s="33">
        <v>0</v>
      </c>
      <c r="D61" s="33">
        <v>0</v>
      </c>
    </row>
    <row r="62" spans="1:4" ht="18" customHeight="1" x14ac:dyDescent="0.35">
      <c r="A62" s="31" t="s">
        <v>167</v>
      </c>
      <c r="B62" s="33">
        <v>0</v>
      </c>
      <c r="C62" s="33">
        <v>0</v>
      </c>
      <c r="D62" s="33">
        <v>0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B1FA2"/>
  </sheetPr>
  <dimension ref="B1:H61"/>
  <sheetViews>
    <sheetView showGridLines="0" zoomScale="66" zoomScaleNormal="100" workbookViewId="0">
      <pane xSplit="1" ySplit="8" topLeftCell="C54" activePane="bottomRight" state="frozen"/>
      <selection pane="topRight" activeCell="B1" sqref="B1"/>
      <selection pane="bottomLeft" activeCell="A9" sqref="A9"/>
      <selection pane="bottomRight" activeCell="K59" sqref="K59"/>
    </sheetView>
  </sheetViews>
  <sheetFormatPr defaultColWidth="8.6328125" defaultRowHeight="14.5" x14ac:dyDescent="0.35"/>
  <cols>
    <col min="1" max="1" width="3" customWidth="1"/>
    <col min="2" max="2" width="10" customWidth="1"/>
    <col min="3" max="3" width="14" customWidth="1"/>
    <col min="4" max="4" width="30" customWidth="1"/>
    <col min="5" max="5" width="20" customWidth="1"/>
    <col min="6" max="7" width="16" customWidth="1"/>
    <col min="8" max="8" width="14" customWidth="1"/>
    <col min="9" max="9" width="3" customWidth="1"/>
  </cols>
  <sheetData>
    <row r="1" spans="2:8" ht="31.5" customHeight="1" x14ac:dyDescent="0.35">
      <c r="B1" s="133" t="s">
        <v>168</v>
      </c>
      <c r="C1" s="133"/>
      <c r="D1" s="133"/>
      <c r="E1" s="133"/>
      <c r="F1" s="133"/>
      <c r="G1" s="133"/>
      <c r="H1" s="133"/>
    </row>
    <row r="2" spans="2:8" ht="18" customHeight="1" x14ac:dyDescent="0.35">
      <c r="B2" s="130" t="s">
        <v>169</v>
      </c>
      <c r="C2" s="130"/>
      <c r="D2" s="130"/>
      <c r="E2" s="130"/>
      <c r="F2" s="130"/>
      <c r="G2" s="130"/>
      <c r="H2" s="130"/>
    </row>
    <row r="3" spans="2:8" ht="7.5" customHeight="1" x14ac:dyDescent="0.35"/>
    <row r="4" spans="2:8" ht="21.75" customHeight="1" x14ac:dyDescent="0.35">
      <c r="B4" s="134" t="s">
        <v>170</v>
      </c>
      <c r="C4" s="134"/>
      <c r="D4" s="134"/>
      <c r="E4" s="135" t="s">
        <v>3</v>
      </c>
      <c r="F4" s="135"/>
      <c r="G4" s="135"/>
      <c r="H4" s="135"/>
    </row>
    <row r="5" spans="2:8" ht="21.75" customHeight="1" x14ac:dyDescent="0.35">
      <c r="B5" s="134" t="s">
        <v>171</v>
      </c>
      <c r="C5" s="134"/>
      <c r="D5" s="134"/>
      <c r="E5" s="135" t="s">
        <v>172</v>
      </c>
      <c r="F5" s="135"/>
      <c r="G5" s="135"/>
      <c r="H5" s="135"/>
    </row>
    <row r="6" spans="2:8" ht="7.5" customHeight="1" x14ac:dyDescent="0.35"/>
    <row r="7" spans="2:8" ht="18" customHeight="1" x14ac:dyDescent="0.35">
      <c r="B7" s="130" t="s">
        <v>173</v>
      </c>
      <c r="C7" s="130"/>
      <c r="D7" s="130"/>
      <c r="E7" s="130"/>
      <c r="F7" s="130"/>
      <c r="G7" s="130"/>
      <c r="H7" s="130"/>
    </row>
    <row r="8" spans="2:8" ht="36" customHeight="1" x14ac:dyDescent="0.35">
      <c r="B8" s="37" t="s">
        <v>174</v>
      </c>
      <c r="C8" s="37" t="s">
        <v>37</v>
      </c>
      <c r="D8" s="37" t="s">
        <v>175</v>
      </c>
      <c r="E8" s="37" t="s">
        <v>176</v>
      </c>
      <c r="F8" s="37" t="s">
        <v>177</v>
      </c>
      <c r="G8" s="37" t="s">
        <v>418</v>
      </c>
      <c r="H8" s="37" t="s">
        <v>419</v>
      </c>
    </row>
    <row r="9" spans="2:8" ht="19.5" customHeight="1" x14ac:dyDescent="0.35">
      <c r="B9" s="217">
        <v>1</v>
      </c>
      <c r="C9" s="205" t="s">
        <v>44</v>
      </c>
      <c r="D9" s="207" t="s">
        <v>178</v>
      </c>
      <c r="E9" s="206" t="s">
        <v>179</v>
      </c>
      <c r="F9" s="213" t="s">
        <v>180</v>
      </c>
      <c r="G9" s="214">
        <v>1400000</v>
      </c>
      <c r="H9" s="215"/>
    </row>
    <row r="10" spans="2:8" ht="19.5" customHeight="1" x14ac:dyDescent="0.35">
      <c r="B10" s="217">
        <v>1</v>
      </c>
      <c r="C10" s="205"/>
      <c r="D10" s="207" t="s">
        <v>181</v>
      </c>
      <c r="E10" s="206" t="s">
        <v>179</v>
      </c>
      <c r="F10" s="213" t="s">
        <v>180</v>
      </c>
      <c r="G10" s="215"/>
      <c r="H10" s="216">
        <v>1400000</v>
      </c>
    </row>
    <row r="11" spans="2:8" ht="19.5" customHeight="1" x14ac:dyDescent="0.35">
      <c r="B11" s="217">
        <v>2</v>
      </c>
      <c r="C11" s="205" t="s">
        <v>47</v>
      </c>
      <c r="D11" s="207" t="s">
        <v>178</v>
      </c>
      <c r="E11" s="206" t="s">
        <v>182</v>
      </c>
      <c r="F11" s="213" t="s">
        <v>180</v>
      </c>
      <c r="G11" s="214">
        <v>350000</v>
      </c>
      <c r="H11" s="215"/>
    </row>
    <row r="12" spans="2:8" ht="19.5" customHeight="1" x14ac:dyDescent="0.35">
      <c r="B12" s="217">
        <v>2</v>
      </c>
      <c r="C12" s="205"/>
      <c r="D12" s="207" t="s">
        <v>181</v>
      </c>
      <c r="E12" s="206" t="s">
        <v>182</v>
      </c>
      <c r="F12" s="213" t="s">
        <v>180</v>
      </c>
      <c r="G12" s="215"/>
      <c r="H12" s="216">
        <v>350000</v>
      </c>
    </row>
    <row r="13" spans="2:8" ht="19.5" customHeight="1" x14ac:dyDescent="0.35">
      <c r="B13" s="217">
        <v>3</v>
      </c>
      <c r="C13" s="205" t="s">
        <v>73</v>
      </c>
      <c r="D13" s="208" t="s">
        <v>183</v>
      </c>
      <c r="E13" s="206" t="s">
        <v>184</v>
      </c>
      <c r="F13" s="213" t="s">
        <v>185</v>
      </c>
      <c r="G13" s="214">
        <v>166000</v>
      </c>
      <c r="H13" s="215"/>
    </row>
    <row r="14" spans="2:8" ht="19.5" customHeight="1" x14ac:dyDescent="0.35">
      <c r="B14" s="217">
        <v>3</v>
      </c>
      <c r="C14" s="205"/>
      <c r="D14" s="208" t="s">
        <v>186</v>
      </c>
      <c r="E14" s="206" t="s">
        <v>184</v>
      </c>
      <c r="F14" s="213" t="s">
        <v>185</v>
      </c>
      <c r="G14" s="215"/>
      <c r="H14" s="216">
        <v>166000</v>
      </c>
    </row>
    <row r="15" spans="2:8" ht="19.5" customHeight="1" x14ac:dyDescent="0.35">
      <c r="B15" s="217">
        <v>4</v>
      </c>
      <c r="C15" s="205" t="s">
        <v>44</v>
      </c>
      <c r="D15" s="208" t="s">
        <v>183</v>
      </c>
      <c r="E15" s="206" t="s">
        <v>187</v>
      </c>
      <c r="F15" s="213" t="s">
        <v>185</v>
      </c>
      <c r="G15" s="214">
        <v>120000</v>
      </c>
      <c r="H15" s="215"/>
    </row>
    <row r="16" spans="2:8" ht="19.5" customHeight="1" x14ac:dyDescent="0.35">
      <c r="B16" s="217">
        <v>4</v>
      </c>
      <c r="C16" s="205"/>
      <c r="D16" s="208" t="s">
        <v>186</v>
      </c>
      <c r="E16" s="206" t="s">
        <v>187</v>
      </c>
      <c r="F16" s="213" t="s">
        <v>185</v>
      </c>
      <c r="G16" s="215"/>
      <c r="H16" s="216">
        <v>120000</v>
      </c>
    </row>
    <row r="17" spans="2:8" ht="19.5" customHeight="1" x14ac:dyDescent="0.35">
      <c r="B17" s="217">
        <v>5</v>
      </c>
      <c r="C17" s="205" t="s">
        <v>92</v>
      </c>
      <c r="D17" s="209" t="s">
        <v>188</v>
      </c>
      <c r="E17" s="206" t="s">
        <v>189</v>
      </c>
      <c r="F17" s="213" t="s">
        <v>190</v>
      </c>
      <c r="G17" s="214">
        <v>150000</v>
      </c>
      <c r="H17" s="215"/>
    </row>
    <row r="18" spans="2:8" ht="19.5" customHeight="1" x14ac:dyDescent="0.35">
      <c r="B18" s="217">
        <v>5</v>
      </c>
      <c r="C18" s="205"/>
      <c r="D18" s="209" t="s">
        <v>186</v>
      </c>
      <c r="E18" s="206" t="s">
        <v>189</v>
      </c>
      <c r="F18" s="213" t="s">
        <v>190</v>
      </c>
      <c r="G18" s="215"/>
      <c r="H18" s="216">
        <v>150000</v>
      </c>
    </row>
    <row r="19" spans="2:8" ht="19.5" customHeight="1" x14ac:dyDescent="0.35">
      <c r="B19" s="217">
        <v>6</v>
      </c>
      <c r="C19" s="205" t="s">
        <v>92</v>
      </c>
      <c r="D19" s="209" t="s">
        <v>191</v>
      </c>
      <c r="E19" s="206" t="s">
        <v>192</v>
      </c>
      <c r="F19" s="213" t="s">
        <v>193</v>
      </c>
      <c r="G19" s="214">
        <v>105000</v>
      </c>
      <c r="H19" s="215"/>
    </row>
    <row r="20" spans="2:8" ht="19.5" customHeight="1" x14ac:dyDescent="0.35">
      <c r="B20" s="217">
        <v>6</v>
      </c>
      <c r="C20" s="205"/>
      <c r="D20" s="209" t="s">
        <v>186</v>
      </c>
      <c r="E20" s="206" t="s">
        <v>192</v>
      </c>
      <c r="F20" s="213" t="s">
        <v>193</v>
      </c>
      <c r="G20" s="215"/>
      <c r="H20" s="216">
        <v>105000</v>
      </c>
    </row>
    <row r="21" spans="2:8" ht="19.5" customHeight="1" x14ac:dyDescent="0.35">
      <c r="B21" s="217">
        <v>7</v>
      </c>
      <c r="C21" s="205" t="s">
        <v>51</v>
      </c>
      <c r="D21" s="207" t="s">
        <v>178</v>
      </c>
      <c r="E21" s="206" t="s">
        <v>194</v>
      </c>
      <c r="F21" s="213" t="s">
        <v>180</v>
      </c>
      <c r="G21" s="214">
        <v>360000</v>
      </c>
      <c r="H21" s="215"/>
    </row>
    <row r="22" spans="2:8" ht="19.5" customHeight="1" x14ac:dyDescent="0.35">
      <c r="B22" s="217">
        <v>7</v>
      </c>
      <c r="C22" s="205"/>
      <c r="D22" s="207" t="s">
        <v>181</v>
      </c>
      <c r="E22" s="206" t="s">
        <v>194</v>
      </c>
      <c r="F22" s="213" t="s">
        <v>180</v>
      </c>
      <c r="G22" s="215"/>
      <c r="H22" s="216">
        <v>360000</v>
      </c>
    </row>
    <row r="23" spans="2:8" ht="19.5" customHeight="1" x14ac:dyDescent="0.35">
      <c r="B23" s="217">
        <v>8</v>
      </c>
      <c r="C23" s="205" t="s">
        <v>54</v>
      </c>
      <c r="D23" s="207" t="s">
        <v>178</v>
      </c>
      <c r="E23" s="206" t="s">
        <v>195</v>
      </c>
      <c r="F23" s="213" t="s">
        <v>180</v>
      </c>
      <c r="G23" s="214">
        <v>450000</v>
      </c>
      <c r="H23" s="215"/>
    </row>
    <row r="24" spans="2:8" ht="19.5" customHeight="1" x14ac:dyDescent="0.35">
      <c r="B24" s="217">
        <v>8</v>
      </c>
      <c r="C24" s="205"/>
      <c r="D24" s="207" t="s">
        <v>181</v>
      </c>
      <c r="E24" s="206" t="s">
        <v>195</v>
      </c>
      <c r="F24" s="213" t="s">
        <v>180</v>
      </c>
      <c r="G24" s="215"/>
      <c r="H24" s="216">
        <v>450000</v>
      </c>
    </row>
    <row r="25" spans="2:8" ht="19.5" customHeight="1" x14ac:dyDescent="0.35">
      <c r="B25" s="217">
        <v>9</v>
      </c>
      <c r="C25" s="205" t="s">
        <v>51</v>
      </c>
      <c r="D25" s="208" t="s">
        <v>183</v>
      </c>
      <c r="E25" s="206" t="s">
        <v>196</v>
      </c>
      <c r="F25" s="213" t="s">
        <v>185</v>
      </c>
      <c r="G25" s="214">
        <v>71000</v>
      </c>
      <c r="H25" s="215"/>
    </row>
    <row r="26" spans="2:8" ht="19.5" customHeight="1" x14ac:dyDescent="0.35">
      <c r="B26" s="217">
        <v>9</v>
      </c>
      <c r="C26" s="205"/>
      <c r="D26" s="208" t="s">
        <v>186</v>
      </c>
      <c r="E26" s="206" t="s">
        <v>196</v>
      </c>
      <c r="F26" s="213" t="s">
        <v>185</v>
      </c>
      <c r="G26" s="215"/>
      <c r="H26" s="216">
        <v>71000</v>
      </c>
    </row>
    <row r="27" spans="2:8" ht="19.5" customHeight="1" x14ac:dyDescent="0.35">
      <c r="B27" s="217">
        <v>10</v>
      </c>
      <c r="C27" s="205" t="s">
        <v>54</v>
      </c>
      <c r="D27" s="209" t="s">
        <v>197</v>
      </c>
      <c r="E27" s="206" t="s">
        <v>198</v>
      </c>
      <c r="F27" s="213" t="s">
        <v>199</v>
      </c>
      <c r="G27" s="214">
        <v>50000</v>
      </c>
      <c r="H27" s="215"/>
    </row>
    <row r="28" spans="2:8" ht="19.5" customHeight="1" x14ac:dyDescent="0.35">
      <c r="B28" s="217">
        <v>10</v>
      </c>
      <c r="C28" s="205"/>
      <c r="D28" s="209" t="s">
        <v>186</v>
      </c>
      <c r="E28" s="206" t="s">
        <v>198</v>
      </c>
      <c r="F28" s="213" t="s">
        <v>199</v>
      </c>
      <c r="G28" s="215"/>
      <c r="H28" s="216">
        <v>50000</v>
      </c>
    </row>
    <row r="29" spans="2:8" ht="19.5" customHeight="1" x14ac:dyDescent="0.35">
      <c r="B29" s="217">
        <v>11</v>
      </c>
      <c r="C29" s="205" t="s">
        <v>57</v>
      </c>
      <c r="D29" s="207" t="s">
        <v>178</v>
      </c>
      <c r="E29" s="206" t="s">
        <v>200</v>
      </c>
      <c r="F29" s="213" t="s">
        <v>180</v>
      </c>
      <c r="G29" s="214">
        <v>2500000</v>
      </c>
      <c r="H29" s="215"/>
    </row>
    <row r="30" spans="2:8" ht="19.5" customHeight="1" x14ac:dyDescent="0.35">
      <c r="B30" s="217">
        <v>11</v>
      </c>
      <c r="C30" s="205"/>
      <c r="D30" s="207" t="s">
        <v>181</v>
      </c>
      <c r="E30" s="206" t="s">
        <v>200</v>
      </c>
      <c r="F30" s="213" t="s">
        <v>180</v>
      </c>
      <c r="G30" s="215"/>
      <c r="H30" s="216">
        <v>2500000</v>
      </c>
    </row>
    <row r="31" spans="2:8" ht="19.5" customHeight="1" x14ac:dyDescent="0.35">
      <c r="B31" s="217">
        <v>12</v>
      </c>
      <c r="C31" s="205" t="s">
        <v>201</v>
      </c>
      <c r="D31" s="208" t="s">
        <v>183</v>
      </c>
      <c r="E31" s="206" t="s">
        <v>202</v>
      </c>
      <c r="F31" s="213" t="s">
        <v>185</v>
      </c>
      <c r="G31" s="214">
        <v>800000</v>
      </c>
      <c r="H31" s="215"/>
    </row>
    <row r="32" spans="2:8" ht="19.5" customHeight="1" x14ac:dyDescent="0.35">
      <c r="B32" s="217">
        <v>12</v>
      </c>
      <c r="C32" s="205"/>
      <c r="D32" s="208" t="s">
        <v>186</v>
      </c>
      <c r="E32" s="206" t="s">
        <v>202</v>
      </c>
      <c r="F32" s="213" t="s">
        <v>185</v>
      </c>
      <c r="G32" s="215"/>
      <c r="H32" s="216">
        <v>800000</v>
      </c>
    </row>
    <row r="33" spans="2:8" ht="19.5" customHeight="1" x14ac:dyDescent="0.35">
      <c r="B33" s="217">
        <v>13</v>
      </c>
      <c r="C33" s="205" t="s">
        <v>63</v>
      </c>
      <c r="D33" s="209" t="s">
        <v>203</v>
      </c>
      <c r="E33" s="206" t="s">
        <v>204</v>
      </c>
      <c r="F33" s="213" t="s">
        <v>205</v>
      </c>
      <c r="G33" s="214">
        <v>40000</v>
      </c>
      <c r="H33" s="215"/>
    </row>
    <row r="34" spans="2:8" ht="19.5" customHeight="1" x14ac:dyDescent="0.35">
      <c r="B34" s="217">
        <v>13</v>
      </c>
      <c r="C34" s="205"/>
      <c r="D34" s="209" t="s">
        <v>186</v>
      </c>
      <c r="E34" s="206" t="s">
        <v>204</v>
      </c>
      <c r="F34" s="213" t="s">
        <v>205</v>
      </c>
      <c r="G34" s="215"/>
      <c r="H34" s="216">
        <v>40000</v>
      </c>
    </row>
    <row r="35" spans="2:8" ht="19.5" customHeight="1" x14ac:dyDescent="0.35">
      <c r="B35" s="217">
        <v>14</v>
      </c>
      <c r="C35" s="205" t="s">
        <v>63</v>
      </c>
      <c r="D35" s="209" t="s">
        <v>206</v>
      </c>
      <c r="E35" s="206" t="s">
        <v>207</v>
      </c>
      <c r="F35" s="213" t="s">
        <v>190</v>
      </c>
      <c r="G35" s="214">
        <v>80000</v>
      </c>
      <c r="H35" s="215"/>
    </row>
    <row r="36" spans="2:8" ht="19.5" customHeight="1" x14ac:dyDescent="0.35">
      <c r="B36" s="217">
        <v>14</v>
      </c>
      <c r="C36" s="205"/>
      <c r="D36" s="209" t="s">
        <v>186</v>
      </c>
      <c r="E36" s="206" t="s">
        <v>207</v>
      </c>
      <c r="F36" s="213" t="s">
        <v>190</v>
      </c>
      <c r="G36" s="215"/>
      <c r="H36" s="216">
        <v>80000</v>
      </c>
    </row>
    <row r="37" spans="2:8" ht="19.5" customHeight="1" x14ac:dyDescent="0.35">
      <c r="B37" s="217">
        <v>15</v>
      </c>
      <c r="C37" s="205" t="s">
        <v>60</v>
      </c>
      <c r="D37" s="210" t="s">
        <v>208</v>
      </c>
      <c r="E37" s="206" t="s">
        <v>209</v>
      </c>
      <c r="F37" s="213" t="s">
        <v>180</v>
      </c>
      <c r="G37" s="214">
        <v>425000</v>
      </c>
      <c r="H37" s="215"/>
    </row>
    <row r="38" spans="2:8" ht="19.5" customHeight="1" x14ac:dyDescent="0.35">
      <c r="B38" s="217">
        <v>15</v>
      </c>
      <c r="C38" s="205"/>
      <c r="D38" s="210" t="s">
        <v>181</v>
      </c>
      <c r="E38" s="206" t="s">
        <v>209</v>
      </c>
      <c r="F38" s="213" t="s">
        <v>180</v>
      </c>
      <c r="G38" s="215"/>
      <c r="H38" s="216">
        <v>425000</v>
      </c>
    </row>
    <row r="39" spans="2:8" ht="19.5" customHeight="1" x14ac:dyDescent="0.35">
      <c r="B39" s="211"/>
      <c r="C39" s="211"/>
      <c r="D39" s="211"/>
      <c r="E39" s="211"/>
      <c r="F39" s="211"/>
      <c r="G39" s="211"/>
      <c r="H39" s="211"/>
    </row>
    <row r="40" spans="2:8" ht="19.5" customHeight="1" x14ac:dyDescent="0.35">
      <c r="B40" s="212"/>
      <c r="C40" s="211"/>
      <c r="D40" s="212"/>
      <c r="E40" s="211"/>
      <c r="F40" s="212"/>
      <c r="G40" s="212"/>
      <c r="H40" s="212"/>
    </row>
    <row r="41" spans="2:8" ht="19.5" customHeight="1" x14ac:dyDescent="0.35">
      <c r="B41" s="211"/>
      <c r="C41" s="211"/>
      <c r="D41" s="211"/>
      <c r="E41" s="211"/>
      <c r="F41" s="211"/>
      <c r="G41" s="211"/>
      <c r="H41" s="211"/>
    </row>
    <row r="42" spans="2:8" ht="19.5" customHeight="1" x14ac:dyDescent="0.35">
      <c r="B42" s="212"/>
      <c r="C42" s="211"/>
      <c r="D42" s="212"/>
      <c r="E42" s="211"/>
      <c r="F42" s="212"/>
      <c r="G42" s="212"/>
      <c r="H42" s="212"/>
    </row>
    <row r="43" spans="2:8" ht="19.5" customHeight="1" x14ac:dyDescent="0.35">
      <c r="B43" s="211"/>
      <c r="C43" s="211"/>
      <c r="D43" s="211"/>
      <c r="E43" s="211"/>
      <c r="F43" s="211"/>
      <c r="G43" s="211"/>
      <c r="H43" s="211"/>
    </row>
    <row r="44" spans="2:8" ht="19.5" customHeight="1" x14ac:dyDescent="0.35">
      <c r="B44" s="212"/>
      <c r="C44" s="211"/>
      <c r="D44" s="212"/>
      <c r="E44" s="211"/>
      <c r="F44" s="212"/>
      <c r="G44" s="212"/>
      <c r="H44" s="212"/>
    </row>
    <row r="45" spans="2:8" ht="19.5" customHeight="1" x14ac:dyDescent="0.35">
      <c r="B45" s="211"/>
      <c r="C45" s="211"/>
      <c r="D45" s="211"/>
      <c r="E45" s="211"/>
      <c r="F45" s="211"/>
      <c r="G45" s="211"/>
      <c r="H45" s="211"/>
    </row>
    <row r="46" spans="2:8" ht="19.5" customHeight="1" x14ac:dyDescent="0.35">
      <c r="B46" s="212"/>
      <c r="C46" s="211"/>
      <c r="D46" s="212"/>
      <c r="E46" s="211"/>
      <c r="F46" s="212"/>
      <c r="G46" s="212"/>
      <c r="H46" s="212"/>
    </row>
    <row r="47" spans="2:8" ht="19.5" customHeight="1" x14ac:dyDescent="0.35">
      <c r="B47" s="211"/>
      <c r="C47" s="211"/>
      <c r="D47" s="211"/>
      <c r="E47" s="211"/>
      <c r="F47" s="211"/>
      <c r="G47" s="211"/>
      <c r="H47" s="211"/>
    </row>
    <row r="48" spans="2:8" ht="19.5" customHeight="1" x14ac:dyDescent="0.35">
      <c r="B48" s="212"/>
      <c r="C48" s="211"/>
      <c r="D48" s="212"/>
      <c r="E48" s="211"/>
      <c r="F48" s="212"/>
      <c r="G48" s="212"/>
      <c r="H48" s="212"/>
    </row>
    <row r="49" spans="2:8" ht="19.5" customHeight="1" x14ac:dyDescent="0.35">
      <c r="B49" s="211"/>
      <c r="C49" s="211"/>
      <c r="D49" s="211"/>
      <c r="E49" s="211"/>
      <c r="F49" s="211"/>
      <c r="G49" s="211"/>
      <c r="H49" s="211"/>
    </row>
    <row r="50" spans="2:8" ht="19.5" customHeight="1" x14ac:dyDescent="0.35">
      <c r="B50" s="212"/>
      <c r="C50" s="211"/>
      <c r="D50" s="212"/>
      <c r="E50" s="211"/>
      <c r="F50" s="212"/>
      <c r="G50" s="212"/>
      <c r="H50" s="212"/>
    </row>
    <row r="51" spans="2:8" ht="19.5" customHeight="1" x14ac:dyDescent="0.35">
      <c r="B51" s="211"/>
      <c r="C51" s="211"/>
      <c r="D51" s="211"/>
      <c r="E51" s="211"/>
      <c r="F51" s="211"/>
      <c r="G51" s="211"/>
      <c r="H51" s="211"/>
    </row>
    <row r="52" spans="2:8" ht="19.5" customHeight="1" x14ac:dyDescent="0.35">
      <c r="B52" s="212"/>
      <c r="C52" s="211"/>
      <c r="D52" s="212"/>
      <c r="E52" s="211"/>
      <c r="F52" s="212"/>
      <c r="G52" s="212"/>
      <c r="H52" s="212"/>
    </row>
    <row r="53" spans="2:8" ht="19.5" customHeight="1" x14ac:dyDescent="0.35">
      <c r="B53" s="211"/>
      <c r="C53" s="211"/>
      <c r="D53" s="211"/>
      <c r="E53" s="211"/>
      <c r="F53" s="211"/>
      <c r="G53" s="211"/>
      <c r="H53" s="211"/>
    </row>
    <row r="54" spans="2:8" ht="19.5" customHeight="1" x14ac:dyDescent="0.35">
      <c r="B54" s="212"/>
      <c r="C54" s="211"/>
      <c r="D54" s="212"/>
      <c r="E54" s="211"/>
      <c r="F54" s="212"/>
      <c r="G54" s="212"/>
      <c r="H54" s="212"/>
    </row>
    <row r="55" spans="2:8" ht="19.5" customHeight="1" x14ac:dyDescent="0.35">
      <c r="B55" s="211"/>
      <c r="C55" s="211"/>
      <c r="D55" s="211"/>
      <c r="E55" s="211"/>
      <c r="F55" s="211"/>
      <c r="G55" s="211"/>
      <c r="H55" s="211"/>
    </row>
    <row r="56" spans="2:8" ht="19.5" customHeight="1" x14ac:dyDescent="0.35">
      <c r="B56" s="212"/>
      <c r="C56" s="211"/>
      <c r="D56" s="212"/>
      <c r="E56" s="211"/>
      <c r="F56" s="212"/>
      <c r="G56" s="212"/>
      <c r="H56" s="212"/>
    </row>
    <row r="57" spans="2:8" ht="19.5" customHeight="1" x14ac:dyDescent="0.35">
      <c r="B57" s="211"/>
      <c r="C57" s="211"/>
      <c r="D57" s="211"/>
      <c r="E57" s="211"/>
      <c r="F57" s="211"/>
      <c r="G57" s="211"/>
      <c r="H57" s="211"/>
    </row>
    <row r="58" spans="2:8" ht="19.5" customHeight="1" thickBot="1" x14ac:dyDescent="0.4">
      <c r="B58" s="212"/>
      <c r="C58" s="211"/>
      <c r="D58" s="212"/>
      <c r="E58" s="211"/>
      <c r="F58" s="212"/>
      <c r="G58" s="212"/>
      <c r="H58" s="212"/>
    </row>
    <row r="59" spans="2:8" ht="27.75" customHeight="1" thickBot="1" x14ac:dyDescent="0.4">
      <c r="B59" s="131" t="s">
        <v>210</v>
      </c>
      <c r="C59" s="131"/>
      <c r="D59" s="131"/>
      <c r="E59" s="131"/>
      <c r="F59" s="131"/>
      <c r="G59" s="218">
        <f>SUM(G9:G58)</f>
        <v>7067000</v>
      </c>
      <c r="H59" s="219">
        <f>SUM(H9:H58)</f>
        <v>7067000</v>
      </c>
    </row>
    <row r="61" spans="2:8" ht="30" customHeight="1" x14ac:dyDescent="0.35">
      <c r="B61" s="132" t="s">
        <v>211</v>
      </c>
      <c r="C61" s="132"/>
      <c r="D61" s="132"/>
      <c r="E61" s="132"/>
      <c r="F61" s="132"/>
      <c r="G61" s="132"/>
      <c r="H61" s="132"/>
    </row>
  </sheetData>
  <mergeCells count="9">
    <mergeCell ref="B7:H7"/>
    <mergeCell ref="B59:F59"/>
    <mergeCell ref="B61:H61"/>
    <mergeCell ref="B1:H1"/>
    <mergeCell ref="B2:H2"/>
    <mergeCell ref="B4:D4"/>
    <mergeCell ref="E4:H4"/>
    <mergeCell ref="B5:D5"/>
    <mergeCell ref="E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A237E"/>
  </sheetPr>
  <dimension ref="B1:H70"/>
  <sheetViews>
    <sheetView showGridLines="0" tabSelected="1" zoomScaleNormal="100" workbookViewId="0">
      <pane xSplit="1" ySplit="7" topLeftCell="B99" activePane="bottomRight" state="frozen"/>
      <selection pane="topRight" activeCell="B1" sqref="B1"/>
      <selection pane="bottomLeft" activeCell="A8" sqref="A8"/>
      <selection pane="bottomRight" activeCell="H42" sqref="H42"/>
    </sheetView>
  </sheetViews>
  <sheetFormatPr defaultColWidth="8.6328125" defaultRowHeight="14.5" x14ac:dyDescent="0.35"/>
  <cols>
    <col min="1" max="1" width="3" customWidth="1"/>
    <col min="2" max="2" width="36" customWidth="1"/>
    <col min="3" max="3" width="20.81640625" customWidth="1"/>
    <col min="4" max="4" width="72.1796875" customWidth="1"/>
    <col min="5" max="7" width="4" customWidth="1"/>
    <col min="8" max="8" width="9.08984375" bestFit="1" customWidth="1"/>
    <col min="11" max="11" width="34.36328125" customWidth="1"/>
  </cols>
  <sheetData>
    <row r="1" spans="2:4" ht="29.5" customHeight="1" thickBot="1" x14ac:dyDescent="0.4">
      <c r="B1" s="139" t="s">
        <v>212</v>
      </c>
      <c r="C1" s="139"/>
      <c r="D1" s="139"/>
    </row>
    <row r="2" spans="2:4" ht="18" hidden="1" customHeight="1" x14ac:dyDescent="0.35">
      <c r="B2" s="140" t="s">
        <v>213</v>
      </c>
      <c r="C2" s="140"/>
      <c r="D2" s="140"/>
    </row>
    <row r="3" spans="2:4" ht="7.5" hidden="1" customHeight="1" x14ac:dyDescent="0.35"/>
    <row r="4" spans="2:4" ht="21.5" hidden="1" customHeight="1" x14ac:dyDescent="0.35">
      <c r="B4" s="38" t="s">
        <v>170</v>
      </c>
      <c r="D4" s="39" t="s">
        <v>3</v>
      </c>
    </row>
    <row r="5" spans="2:4" ht="21.5" hidden="1" customHeight="1" x14ac:dyDescent="0.35">
      <c r="B5" s="38" t="s">
        <v>214</v>
      </c>
      <c r="D5" s="39" t="s">
        <v>215</v>
      </c>
    </row>
    <row r="6" spans="2:4" ht="5.5" hidden="1" customHeight="1" x14ac:dyDescent="0.35">
      <c r="B6" s="38" t="s">
        <v>216</v>
      </c>
      <c r="D6" s="39" t="s">
        <v>5</v>
      </c>
    </row>
    <row r="7" spans="2:4" ht="12" hidden="1" customHeight="1" x14ac:dyDescent="0.35"/>
    <row r="8" spans="2:4" ht="27.75" customHeight="1" thickBot="1" x14ac:dyDescent="0.4">
      <c r="B8" s="141" t="s">
        <v>217</v>
      </c>
      <c r="C8" s="141"/>
      <c r="D8" s="141"/>
    </row>
    <row r="9" spans="2:4" ht="21.75" customHeight="1" x14ac:dyDescent="0.35">
      <c r="B9" s="40" t="s">
        <v>218</v>
      </c>
      <c r="C9" s="41"/>
      <c r="D9" s="41"/>
    </row>
    <row r="10" spans="2:4" ht="21.75" customHeight="1" x14ac:dyDescent="0.35">
      <c r="B10" s="220" t="s">
        <v>219</v>
      </c>
      <c r="C10" s="221"/>
      <c r="D10" s="222">
        <f>'📦 Pesanan'!D3</f>
        <v>5725000</v>
      </c>
    </row>
    <row r="11" spans="2:4" ht="21.75" customHeight="1" thickBot="1" x14ac:dyDescent="0.4">
      <c r="B11" s="220" t="s">
        <v>220</v>
      </c>
      <c r="C11" s="221"/>
      <c r="D11" s="222">
        <v>0</v>
      </c>
    </row>
    <row r="12" spans="2:4" ht="25.5" customHeight="1" thickBot="1" x14ac:dyDescent="0.4">
      <c r="B12" s="223" t="s">
        <v>221</v>
      </c>
      <c r="C12" s="224"/>
      <c r="D12" s="225">
        <f>D10+D11</f>
        <v>5725000</v>
      </c>
    </row>
    <row r="13" spans="2:4" ht="7.5" customHeight="1" x14ac:dyDescent="0.35">
      <c r="B13" s="226"/>
      <c r="C13" s="227"/>
      <c r="D13" s="227"/>
    </row>
    <row r="14" spans="2:4" ht="21.75" customHeight="1" x14ac:dyDescent="0.35">
      <c r="B14" s="228" t="s">
        <v>222</v>
      </c>
      <c r="C14" s="229"/>
      <c r="D14" s="229"/>
    </row>
    <row r="15" spans="2:4" ht="21.75" customHeight="1" x14ac:dyDescent="0.35">
      <c r="B15" s="220" t="s">
        <v>223</v>
      </c>
      <c r="C15" s="221"/>
      <c r="D15" s="222">
        <f>'🛒 Belanja Bahan'!E3</f>
        <v>2377000</v>
      </c>
    </row>
    <row r="16" spans="2:4" ht="21.75" customHeight="1" x14ac:dyDescent="0.35">
      <c r="B16" s="220" t="s">
        <v>224</v>
      </c>
      <c r="C16" s="221"/>
      <c r="D16" s="222">
        <f>'💸 Biaya Lain'!D3</f>
        <v>425000</v>
      </c>
    </row>
    <row r="17" spans="2:4" ht="25.5" customHeight="1" x14ac:dyDescent="0.35">
      <c r="B17" s="230" t="s">
        <v>225</v>
      </c>
      <c r="C17" s="229"/>
      <c r="D17" s="231">
        <f>D15+D16</f>
        <v>2802000</v>
      </c>
    </row>
    <row r="18" spans="2:4" ht="7.5" customHeight="1" x14ac:dyDescent="0.35">
      <c r="B18" s="226"/>
      <c r="C18" s="227"/>
      <c r="D18" s="227"/>
    </row>
    <row r="19" spans="2:4" ht="27.75" customHeight="1" x14ac:dyDescent="0.35">
      <c r="B19" s="232" t="s">
        <v>226</v>
      </c>
      <c r="C19" s="233"/>
      <c r="D19" s="234">
        <f>D12-D17</f>
        <v>2923000</v>
      </c>
    </row>
    <row r="20" spans="2:4" ht="7.5" customHeight="1" x14ac:dyDescent="0.35">
      <c r="B20" s="226"/>
      <c r="C20" s="227"/>
      <c r="D20" s="227"/>
    </row>
    <row r="21" spans="2:4" ht="21.75" customHeight="1" x14ac:dyDescent="0.35">
      <c r="B21" s="235" t="s">
        <v>227</v>
      </c>
      <c r="C21" s="236"/>
      <c r="D21" s="236"/>
    </row>
    <row r="22" spans="2:4" ht="21.75" customHeight="1" x14ac:dyDescent="0.35">
      <c r="B22" s="220" t="s">
        <v>228</v>
      </c>
      <c r="C22" s="221"/>
      <c r="D22" s="222">
        <v>50000</v>
      </c>
    </row>
    <row r="23" spans="2:4" ht="21.75" customHeight="1" x14ac:dyDescent="0.35">
      <c r="B23" s="220" t="s">
        <v>229</v>
      </c>
      <c r="C23" s="221"/>
      <c r="D23" s="222">
        <v>40000</v>
      </c>
    </row>
    <row r="24" spans="2:4" ht="21.75" customHeight="1" x14ac:dyDescent="0.35">
      <c r="B24" s="220" t="s">
        <v>230</v>
      </c>
      <c r="C24" s="221"/>
      <c r="D24" s="222">
        <v>0</v>
      </c>
    </row>
    <row r="25" spans="2:4" ht="25.5" customHeight="1" x14ac:dyDescent="0.35">
      <c r="B25" s="237" t="s">
        <v>231</v>
      </c>
      <c r="C25" s="236"/>
      <c r="D25" s="238">
        <f>SUM(D22:D24)</f>
        <v>90000</v>
      </c>
    </row>
    <row r="26" spans="2:4" ht="7.5" customHeight="1" x14ac:dyDescent="0.35">
      <c r="B26" s="226"/>
      <c r="C26" s="227"/>
      <c r="D26" s="227"/>
    </row>
    <row r="27" spans="2:4" ht="27.75" customHeight="1" x14ac:dyDescent="0.35">
      <c r="B27" s="239" t="s">
        <v>232</v>
      </c>
      <c r="C27" s="240"/>
      <c r="D27" s="241">
        <f>D19-D25</f>
        <v>2833000</v>
      </c>
    </row>
    <row r="28" spans="2:4" ht="21.75" customHeight="1" x14ac:dyDescent="0.35">
      <c r="B28" s="220" t="s">
        <v>233</v>
      </c>
      <c r="C28" s="221"/>
      <c r="D28" s="222">
        <v>0</v>
      </c>
    </row>
    <row r="29" spans="2:4" ht="33.75" customHeight="1" x14ac:dyDescent="0.35">
      <c r="B29" s="242" t="s">
        <v>234</v>
      </c>
      <c r="C29" s="243"/>
      <c r="D29" s="244">
        <f>D27-D28</f>
        <v>2833000</v>
      </c>
    </row>
    <row r="30" spans="2:4" ht="7.5" customHeight="1" x14ac:dyDescent="0.35">
      <c r="B30" s="226"/>
      <c r="C30" s="227"/>
      <c r="D30" s="227"/>
    </row>
    <row r="31" spans="2:4" ht="21.75" customHeight="1" x14ac:dyDescent="0.35">
      <c r="B31" s="245" t="s">
        <v>235</v>
      </c>
      <c r="C31" s="246"/>
      <c r="D31" s="247">
        <f>IF(D12&gt;0,D29/D12,0)</f>
        <v>0.49484716157205239</v>
      </c>
    </row>
    <row r="32" spans="2:4" ht="21.75" customHeight="1" x14ac:dyDescent="0.35">
      <c r="B32" s="248" t="s">
        <v>236</v>
      </c>
      <c r="C32" s="246"/>
      <c r="D32" s="249">
        <f>IF(D29&gt;0,D29/30,0)</f>
        <v>94433.333333333328</v>
      </c>
    </row>
    <row r="33" spans="2:8" ht="9.75" customHeight="1" x14ac:dyDescent="0.35">
      <c r="B33" s="226"/>
      <c r="C33" s="227"/>
      <c r="D33" s="227"/>
    </row>
    <row r="34" spans="2:8" ht="27.75" customHeight="1" x14ac:dyDescent="0.35">
      <c r="B34" s="250" t="s">
        <v>237</v>
      </c>
      <c r="C34" s="250"/>
      <c r="D34" s="250"/>
    </row>
    <row r="35" spans="2:8" ht="21.75" customHeight="1" x14ac:dyDescent="0.35">
      <c r="B35" s="220" t="s">
        <v>238</v>
      </c>
      <c r="C35" s="221"/>
      <c r="D35" s="222">
        <v>5665000</v>
      </c>
    </row>
    <row r="36" spans="2:8" ht="21.75" customHeight="1" x14ac:dyDescent="0.35">
      <c r="B36" s="220" t="s">
        <v>239</v>
      </c>
      <c r="C36" s="221"/>
      <c r="D36" s="222">
        <f>D29</f>
        <v>2833000</v>
      </c>
    </row>
    <row r="37" spans="2:8" ht="21.75" customHeight="1" x14ac:dyDescent="0.35">
      <c r="B37" s="220" t="s">
        <v>240</v>
      </c>
      <c r="C37" s="221"/>
      <c r="D37" s="222">
        <v>0</v>
      </c>
    </row>
    <row r="38" spans="2:8" ht="27.75" customHeight="1" x14ac:dyDescent="0.35">
      <c r="B38" s="223" t="s">
        <v>241</v>
      </c>
      <c r="C38" s="224"/>
      <c r="D38" s="225">
        <f>D35+D36-D37</f>
        <v>8498000</v>
      </c>
    </row>
    <row r="39" spans="2:8" ht="9.75" customHeight="1" x14ac:dyDescent="0.35">
      <c r="B39" s="226"/>
      <c r="C39" s="227"/>
      <c r="D39" s="227"/>
    </row>
    <row r="40" spans="2:8" ht="27.75" customHeight="1" x14ac:dyDescent="0.35">
      <c r="B40" s="251" t="s">
        <v>242</v>
      </c>
      <c r="C40" s="251"/>
      <c r="D40" s="251"/>
    </row>
    <row r="41" spans="2:8" ht="21.75" customHeight="1" x14ac:dyDescent="0.35">
      <c r="B41" s="252" t="s">
        <v>243</v>
      </c>
      <c r="C41" s="253"/>
      <c r="D41" s="253"/>
    </row>
    <row r="42" spans="2:8" ht="21.75" customHeight="1" x14ac:dyDescent="0.35">
      <c r="B42" s="220" t="s">
        <v>244</v>
      </c>
      <c r="C42" s="221"/>
      <c r="D42" s="222">
        <f>D12-D17-D25</f>
        <v>2833000</v>
      </c>
    </row>
    <row r="43" spans="2:8" ht="21.75" customHeight="1" x14ac:dyDescent="0.35">
      <c r="B43" s="220" t="s">
        <v>245</v>
      </c>
      <c r="C43" s="221"/>
      <c r="D43" s="222">
        <f>'💳 Hutang &amp; Piutang'!E18</f>
        <v>665000</v>
      </c>
    </row>
    <row r="44" spans="2:8" ht="21.75" customHeight="1" x14ac:dyDescent="0.35">
      <c r="B44" s="220" t="s">
        <v>246</v>
      </c>
      <c r="C44" s="221"/>
      <c r="D44" s="222">
        <v>0</v>
      </c>
    </row>
    <row r="45" spans="2:8" ht="21.75" customHeight="1" x14ac:dyDescent="0.35">
      <c r="B45" s="220" t="s">
        <v>247</v>
      </c>
      <c r="C45" s="221"/>
      <c r="D45" s="222">
        <v>5000000</v>
      </c>
      <c r="H45" s="260"/>
    </row>
    <row r="46" spans="2:8" ht="25.5" customHeight="1" x14ac:dyDescent="0.35">
      <c r="B46" s="254" t="s">
        <v>248</v>
      </c>
      <c r="C46" s="253"/>
      <c r="D46" s="255">
        <f>D42+D43+D44+D45</f>
        <v>8498000</v>
      </c>
    </row>
    <row r="47" spans="2:8" ht="7.5" customHeight="1" x14ac:dyDescent="0.35">
      <c r="B47" s="226"/>
      <c r="C47" s="227"/>
      <c r="D47" s="227"/>
    </row>
    <row r="48" spans="2:8" ht="21.75" customHeight="1" x14ac:dyDescent="0.35">
      <c r="B48" s="228" t="s">
        <v>249</v>
      </c>
      <c r="C48" s="229"/>
      <c r="D48" s="229"/>
    </row>
    <row r="49" spans="2:4" ht="21.75" customHeight="1" x14ac:dyDescent="0.35">
      <c r="B49" s="220" t="s">
        <v>250</v>
      </c>
      <c r="C49" s="221"/>
      <c r="D49" s="222">
        <v>0</v>
      </c>
    </row>
    <row r="50" spans="2:4" ht="21.75" customHeight="1" x14ac:dyDescent="0.35">
      <c r="B50" s="220" t="s">
        <v>251</v>
      </c>
      <c r="C50" s="221"/>
      <c r="D50" s="222">
        <v>0</v>
      </c>
    </row>
    <row r="51" spans="2:4" ht="25.5" customHeight="1" x14ac:dyDescent="0.35">
      <c r="B51" s="230" t="s">
        <v>252</v>
      </c>
      <c r="C51" s="229"/>
      <c r="D51" s="231">
        <f>D49+D50</f>
        <v>0</v>
      </c>
    </row>
    <row r="52" spans="2:4" ht="7.5" customHeight="1" x14ac:dyDescent="0.35">
      <c r="B52" s="226"/>
      <c r="C52" s="227"/>
      <c r="D52" s="227"/>
    </row>
    <row r="53" spans="2:4" ht="21.75" customHeight="1" x14ac:dyDescent="0.35">
      <c r="B53" s="256" t="s">
        <v>253</v>
      </c>
      <c r="C53" s="233"/>
      <c r="D53" s="233"/>
    </row>
    <row r="54" spans="2:4" ht="21.75" customHeight="1" x14ac:dyDescent="0.35">
      <c r="B54" s="220" t="s">
        <v>254</v>
      </c>
      <c r="C54" s="221"/>
      <c r="D54" s="222">
        <f>D38</f>
        <v>8498000</v>
      </c>
    </row>
    <row r="55" spans="2:4" ht="25.5" customHeight="1" x14ac:dyDescent="0.35">
      <c r="B55" s="232" t="s">
        <v>255</v>
      </c>
      <c r="C55" s="233"/>
      <c r="D55" s="234">
        <f>D54</f>
        <v>8498000</v>
      </c>
    </row>
    <row r="56" spans="2:4" ht="7.5" customHeight="1" x14ac:dyDescent="0.35">
      <c r="B56" s="226"/>
      <c r="C56" s="227"/>
      <c r="D56" s="227"/>
    </row>
    <row r="57" spans="2:4" ht="30" customHeight="1" x14ac:dyDescent="0.35">
      <c r="B57" s="257" t="s">
        <v>256</v>
      </c>
      <c r="C57" s="258"/>
      <c r="D57" s="259">
        <f>D51+D55</f>
        <v>8498000</v>
      </c>
    </row>
    <row r="58" spans="2:4" ht="7.5" customHeight="1" x14ac:dyDescent="0.35">
      <c r="B58" s="42"/>
      <c r="C58" s="43"/>
      <c r="D58" s="43"/>
    </row>
    <row r="59" spans="2:4" ht="24" customHeight="1" x14ac:dyDescent="0.35">
      <c r="B59" s="137" t="str">
        <f>IF(D46=D57,"✅ NERACA SEIMBANG — Aset = Kewajiban + Modal  🎉","❌ Neraca Belum Seimbang — Periksa data kembali")</f>
        <v>✅ NERACA SEIMBANG — Aset = Kewajiban + Modal  🎉</v>
      </c>
      <c r="C59" s="137"/>
      <c r="D59" s="137"/>
    </row>
    <row r="60" spans="2:4" ht="9.75" customHeight="1" x14ac:dyDescent="0.35">
      <c r="B60" s="42"/>
      <c r="C60" s="43"/>
      <c r="D60" s="43"/>
    </row>
    <row r="61" spans="2:4" ht="24" customHeight="1" x14ac:dyDescent="0.35">
      <c r="B61" s="138" t="s">
        <v>257</v>
      </c>
      <c r="C61" s="138"/>
      <c r="D61" s="138"/>
    </row>
    <row r="62" spans="2:4" ht="19.5" customHeight="1" x14ac:dyDescent="0.35">
      <c r="B62" s="39" t="s">
        <v>258</v>
      </c>
      <c r="C62" s="136" t="s">
        <v>259</v>
      </c>
      <c r="D62" s="136"/>
    </row>
    <row r="63" spans="2:4" ht="19.5" customHeight="1" x14ac:dyDescent="0.35">
      <c r="B63" s="39" t="s">
        <v>260</v>
      </c>
      <c r="C63" s="136" t="s">
        <v>261</v>
      </c>
      <c r="D63" s="136"/>
    </row>
    <row r="64" spans="2:4" ht="19.5" customHeight="1" x14ac:dyDescent="0.35">
      <c r="B64" s="39" t="s">
        <v>262</v>
      </c>
      <c r="C64" s="136" t="s">
        <v>263</v>
      </c>
      <c r="D64" s="136"/>
    </row>
    <row r="65" spans="2:4" ht="19.5" customHeight="1" x14ac:dyDescent="0.35">
      <c r="B65" s="39" t="s">
        <v>264</v>
      </c>
      <c r="C65" s="136" t="s">
        <v>265</v>
      </c>
      <c r="D65" s="136"/>
    </row>
    <row r="66" spans="2:4" ht="19.5" customHeight="1" x14ac:dyDescent="0.35">
      <c r="B66" s="39" t="s">
        <v>266</v>
      </c>
      <c r="C66" s="136" t="s">
        <v>267</v>
      </c>
      <c r="D66" s="136"/>
    </row>
    <row r="67" spans="2:4" ht="19.5" customHeight="1" x14ac:dyDescent="0.35">
      <c r="B67" s="39" t="s">
        <v>268</v>
      </c>
      <c r="C67" s="136" t="s">
        <v>269</v>
      </c>
      <c r="D67" s="136"/>
    </row>
    <row r="68" spans="2:4" ht="19.5" customHeight="1" x14ac:dyDescent="0.35">
      <c r="B68" s="39" t="s">
        <v>270</v>
      </c>
      <c r="C68" s="136" t="s">
        <v>271</v>
      </c>
      <c r="D68" s="136"/>
    </row>
    <row r="69" spans="2:4" ht="19.5" customHeight="1" x14ac:dyDescent="0.35">
      <c r="B69" s="39" t="s">
        <v>272</v>
      </c>
      <c r="C69" s="136" t="s">
        <v>273</v>
      </c>
      <c r="D69" s="136"/>
    </row>
    <row r="70" spans="2:4" ht="19.5" customHeight="1" x14ac:dyDescent="0.35">
      <c r="B70" s="39" t="s">
        <v>274</v>
      </c>
      <c r="C70" s="136" t="s">
        <v>275</v>
      </c>
      <c r="D70" s="136"/>
    </row>
  </sheetData>
  <mergeCells count="16">
    <mergeCell ref="B1:D1"/>
    <mergeCell ref="B2:D2"/>
    <mergeCell ref="B8:D8"/>
    <mergeCell ref="B34:D34"/>
    <mergeCell ref="B40:D40"/>
    <mergeCell ref="B59:D59"/>
    <mergeCell ref="B61:D61"/>
    <mergeCell ref="C62:D62"/>
    <mergeCell ref="C63:D63"/>
    <mergeCell ref="C64:D64"/>
    <mergeCell ref="C70:D70"/>
    <mergeCell ref="C65:D65"/>
    <mergeCell ref="C66:D66"/>
    <mergeCell ref="C67:D67"/>
    <mergeCell ref="C68:D68"/>
    <mergeCell ref="C69:D6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2185B"/>
  </sheetPr>
  <dimension ref="B1:I19"/>
  <sheetViews>
    <sheetView showGridLines="0" zoomScaleNormal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activeCell="C6" sqref="C6"/>
    </sheetView>
  </sheetViews>
  <sheetFormatPr defaultColWidth="8.6328125" defaultRowHeight="14.5" x14ac:dyDescent="0.35"/>
  <cols>
    <col min="1" max="1" width="3" customWidth="1"/>
    <col min="2" max="2" width="24" customWidth="1"/>
    <col min="3" max="7" width="18" customWidth="1"/>
    <col min="8" max="9" width="16" customWidth="1"/>
    <col min="10" max="10" width="3" customWidth="1"/>
  </cols>
  <sheetData>
    <row r="1" spans="2:9" ht="31.5" customHeight="1" x14ac:dyDescent="0.35">
      <c r="B1" s="110" t="s">
        <v>276</v>
      </c>
      <c r="C1" s="110"/>
      <c r="D1" s="110"/>
      <c r="E1" s="110"/>
      <c r="F1" s="110"/>
      <c r="G1" s="110"/>
      <c r="H1" s="110"/>
      <c r="I1" s="110"/>
    </row>
    <row r="2" spans="2:9" ht="18" customHeight="1" x14ac:dyDescent="0.35">
      <c r="B2" s="142" t="s">
        <v>277</v>
      </c>
      <c r="C2" s="142"/>
      <c r="D2" s="142"/>
      <c r="E2" s="142"/>
      <c r="F2" s="142"/>
      <c r="G2" s="142"/>
      <c r="H2" s="142"/>
      <c r="I2" s="142"/>
    </row>
    <row r="3" spans="2:9" ht="7.5" customHeight="1" x14ac:dyDescent="0.35"/>
    <row r="4" spans="2:9" ht="36" customHeight="1" x14ac:dyDescent="0.35">
      <c r="B4" s="9" t="s">
        <v>152</v>
      </c>
      <c r="C4" s="9" t="s">
        <v>278</v>
      </c>
      <c r="D4" s="9" t="s">
        <v>279</v>
      </c>
      <c r="E4" s="9" t="s">
        <v>280</v>
      </c>
      <c r="F4" s="9" t="s">
        <v>281</v>
      </c>
      <c r="G4" s="9" t="s">
        <v>282</v>
      </c>
      <c r="H4" s="9" t="s">
        <v>283</v>
      </c>
      <c r="I4" s="9" t="s">
        <v>284</v>
      </c>
    </row>
    <row r="5" spans="2:9" ht="21.75" customHeight="1" x14ac:dyDescent="0.35">
      <c r="B5" s="40" t="s">
        <v>156</v>
      </c>
      <c r="C5" s="261">
        <f>'📦 Pesanan'!D3</f>
        <v>5725000</v>
      </c>
      <c r="D5" s="261">
        <f>'🛒 Belanja Bahan'!E3</f>
        <v>2377000</v>
      </c>
      <c r="E5" s="261">
        <f>'💸 Biaya Lain'!D3</f>
        <v>425000</v>
      </c>
      <c r="F5" s="262">
        <f t="shared" ref="F5:F16" si="0">D5+E5</f>
        <v>2802000</v>
      </c>
      <c r="G5" s="261">
        <f t="shared" ref="G5:G16" si="1">C5-F5</f>
        <v>2923000</v>
      </c>
      <c r="H5" s="44">
        <f t="shared" ref="H5:H17" si="2">IF(C5&gt;0,G5/C5,0)</f>
        <v>0.5105676855895197</v>
      </c>
      <c r="I5" s="45" t="str">
        <f t="shared" ref="I5:I17" si="3">IF(G5&gt;0,"✅ UNTUNG",IF(G5=0,"⚖️ IMPAS","🔴 RUGI"))</f>
        <v>✅ UNTUNG</v>
      </c>
    </row>
    <row r="6" spans="2:9" ht="21.75" customHeight="1" x14ac:dyDescent="0.35">
      <c r="B6" s="40" t="s">
        <v>157</v>
      </c>
      <c r="C6" s="168">
        <v>0</v>
      </c>
      <c r="D6" s="168">
        <v>0</v>
      </c>
      <c r="E6" s="168">
        <v>0</v>
      </c>
      <c r="F6" s="262">
        <f t="shared" si="0"/>
        <v>0</v>
      </c>
      <c r="G6" s="261">
        <f t="shared" si="1"/>
        <v>0</v>
      </c>
      <c r="H6" s="44">
        <f t="shared" si="2"/>
        <v>0</v>
      </c>
      <c r="I6" s="46" t="str">
        <f t="shared" si="3"/>
        <v>⚖️ IMPAS</v>
      </c>
    </row>
    <row r="7" spans="2:9" ht="21.75" customHeight="1" x14ac:dyDescent="0.35">
      <c r="B7" s="40" t="s">
        <v>158</v>
      </c>
      <c r="C7" s="168">
        <v>0</v>
      </c>
      <c r="D7" s="168">
        <v>0</v>
      </c>
      <c r="E7" s="168">
        <v>0</v>
      </c>
      <c r="F7" s="262">
        <f t="shared" si="0"/>
        <v>0</v>
      </c>
      <c r="G7" s="261">
        <f t="shared" si="1"/>
        <v>0</v>
      </c>
      <c r="H7" s="44">
        <f t="shared" si="2"/>
        <v>0</v>
      </c>
      <c r="I7" s="45" t="str">
        <f t="shared" si="3"/>
        <v>⚖️ IMPAS</v>
      </c>
    </row>
    <row r="8" spans="2:9" ht="21.75" customHeight="1" x14ac:dyDescent="0.35">
      <c r="B8" s="40" t="s">
        <v>159</v>
      </c>
      <c r="C8" s="168">
        <v>0</v>
      </c>
      <c r="D8" s="168">
        <v>0</v>
      </c>
      <c r="E8" s="168">
        <v>0</v>
      </c>
      <c r="F8" s="262">
        <f t="shared" si="0"/>
        <v>0</v>
      </c>
      <c r="G8" s="261">
        <f t="shared" si="1"/>
        <v>0</v>
      </c>
      <c r="H8" s="44">
        <f t="shared" si="2"/>
        <v>0</v>
      </c>
      <c r="I8" s="46" t="str">
        <f t="shared" si="3"/>
        <v>⚖️ IMPAS</v>
      </c>
    </row>
    <row r="9" spans="2:9" ht="21.75" customHeight="1" x14ac:dyDescent="0.35">
      <c r="B9" s="40" t="s">
        <v>160</v>
      </c>
      <c r="C9" s="168">
        <v>0</v>
      </c>
      <c r="D9" s="168">
        <v>0</v>
      </c>
      <c r="E9" s="168">
        <v>0</v>
      </c>
      <c r="F9" s="262">
        <f t="shared" si="0"/>
        <v>0</v>
      </c>
      <c r="G9" s="261">
        <f t="shared" si="1"/>
        <v>0</v>
      </c>
      <c r="H9" s="44">
        <f t="shared" si="2"/>
        <v>0</v>
      </c>
      <c r="I9" s="45" t="str">
        <f t="shared" si="3"/>
        <v>⚖️ IMPAS</v>
      </c>
    </row>
    <row r="10" spans="2:9" ht="21.75" customHeight="1" x14ac:dyDescent="0.35">
      <c r="B10" s="40" t="s">
        <v>161</v>
      </c>
      <c r="C10" s="168">
        <v>0</v>
      </c>
      <c r="D10" s="168">
        <v>0</v>
      </c>
      <c r="E10" s="168">
        <v>0</v>
      </c>
      <c r="F10" s="262">
        <f t="shared" si="0"/>
        <v>0</v>
      </c>
      <c r="G10" s="261">
        <f t="shared" si="1"/>
        <v>0</v>
      </c>
      <c r="H10" s="44">
        <f t="shared" si="2"/>
        <v>0</v>
      </c>
      <c r="I10" s="46" t="str">
        <f t="shared" si="3"/>
        <v>⚖️ IMPAS</v>
      </c>
    </row>
    <row r="11" spans="2:9" ht="21.75" customHeight="1" x14ac:dyDescent="0.35">
      <c r="B11" s="40" t="s">
        <v>162</v>
      </c>
      <c r="C11" s="168">
        <v>0</v>
      </c>
      <c r="D11" s="168">
        <v>0</v>
      </c>
      <c r="E11" s="168">
        <v>0</v>
      </c>
      <c r="F11" s="262">
        <f t="shared" si="0"/>
        <v>0</v>
      </c>
      <c r="G11" s="261">
        <f t="shared" si="1"/>
        <v>0</v>
      </c>
      <c r="H11" s="44">
        <f t="shared" si="2"/>
        <v>0</v>
      </c>
      <c r="I11" s="45" t="str">
        <f t="shared" si="3"/>
        <v>⚖️ IMPAS</v>
      </c>
    </row>
    <row r="12" spans="2:9" ht="21.75" customHeight="1" x14ac:dyDescent="0.35">
      <c r="B12" s="40" t="s">
        <v>163</v>
      </c>
      <c r="C12" s="168">
        <v>0</v>
      </c>
      <c r="D12" s="168">
        <v>0</v>
      </c>
      <c r="E12" s="168">
        <v>0</v>
      </c>
      <c r="F12" s="262">
        <f t="shared" si="0"/>
        <v>0</v>
      </c>
      <c r="G12" s="261">
        <f t="shared" si="1"/>
        <v>0</v>
      </c>
      <c r="H12" s="44">
        <f t="shared" si="2"/>
        <v>0</v>
      </c>
      <c r="I12" s="46" t="str">
        <f t="shared" si="3"/>
        <v>⚖️ IMPAS</v>
      </c>
    </row>
    <row r="13" spans="2:9" ht="21.75" customHeight="1" x14ac:dyDescent="0.35">
      <c r="B13" s="40" t="s">
        <v>164</v>
      </c>
      <c r="C13" s="168">
        <v>0</v>
      </c>
      <c r="D13" s="168">
        <v>0</v>
      </c>
      <c r="E13" s="168">
        <v>0</v>
      </c>
      <c r="F13" s="262">
        <f t="shared" si="0"/>
        <v>0</v>
      </c>
      <c r="G13" s="261">
        <f t="shared" si="1"/>
        <v>0</v>
      </c>
      <c r="H13" s="44">
        <f t="shared" si="2"/>
        <v>0</v>
      </c>
      <c r="I13" s="45" t="str">
        <f t="shared" si="3"/>
        <v>⚖️ IMPAS</v>
      </c>
    </row>
    <row r="14" spans="2:9" ht="21.75" customHeight="1" x14ac:dyDescent="0.35">
      <c r="B14" s="40" t="s">
        <v>165</v>
      </c>
      <c r="C14" s="168">
        <v>0</v>
      </c>
      <c r="D14" s="168">
        <v>0</v>
      </c>
      <c r="E14" s="168">
        <v>0</v>
      </c>
      <c r="F14" s="262">
        <f t="shared" si="0"/>
        <v>0</v>
      </c>
      <c r="G14" s="261">
        <f t="shared" si="1"/>
        <v>0</v>
      </c>
      <c r="H14" s="44">
        <f t="shared" si="2"/>
        <v>0</v>
      </c>
      <c r="I14" s="46" t="str">
        <f t="shared" si="3"/>
        <v>⚖️ IMPAS</v>
      </c>
    </row>
    <row r="15" spans="2:9" ht="21.75" customHeight="1" x14ac:dyDescent="0.35">
      <c r="B15" s="40" t="s">
        <v>166</v>
      </c>
      <c r="C15" s="168">
        <v>0</v>
      </c>
      <c r="D15" s="168">
        <v>0</v>
      </c>
      <c r="E15" s="168">
        <v>0</v>
      </c>
      <c r="F15" s="262">
        <f t="shared" si="0"/>
        <v>0</v>
      </c>
      <c r="G15" s="261">
        <f t="shared" si="1"/>
        <v>0</v>
      </c>
      <c r="H15" s="44">
        <f t="shared" si="2"/>
        <v>0</v>
      </c>
      <c r="I15" s="45" t="str">
        <f t="shared" si="3"/>
        <v>⚖️ IMPAS</v>
      </c>
    </row>
    <row r="16" spans="2:9" ht="21.75" customHeight="1" x14ac:dyDescent="0.35">
      <c r="B16" s="40" t="s">
        <v>167</v>
      </c>
      <c r="C16" s="168">
        <v>0</v>
      </c>
      <c r="D16" s="168">
        <v>0</v>
      </c>
      <c r="E16" s="168">
        <v>0</v>
      </c>
      <c r="F16" s="262">
        <f t="shared" si="0"/>
        <v>0</v>
      </c>
      <c r="G16" s="261">
        <f t="shared" si="1"/>
        <v>0</v>
      </c>
      <c r="H16" s="44">
        <f t="shared" si="2"/>
        <v>0</v>
      </c>
      <c r="I16" s="46" t="str">
        <f t="shared" si="3"/>
        <v>⚖️ IMPAS</v>
      </c>
    </row>
    <row r="17" spans="2:9" ht="25.5" customHeight="1" x14ac:dyDescent="0.35">
      <c r="B17" s="47" t="s">
        <v>285</v>
      </c>
      <c r="C17" s="179">
        <f>SUM(C5:C16)</f>
        <v>5725000</v>
      </c>
      <c r="D17" s="179">
        <f>SUM(D5:D16)</f>
        <v>2377000</v>
      </c>
      <c r="E17" s="179">
        <f>SUM(E5:E16)</f>
        <v>425000</v>
      </c>
      <c r="F17" s="179">
        <f>SUM(F5:F16)</f>
        <v>2802000</v>
      </c>
      <c r="G17" s="179">
        <f>SUM(G5:G16)</f>
        <v>2923000</v>
      </c>
      <c r="H17" s="48">
        <f t="shared" si="2"/>
        <v>0.5105676855895197</v>
      </c>
      <c r="I17" s="47" t="str">
        <f t="shared" si="3"/>
        <v>✅ UNTUNG</v>
      </c>
    </row>
    <row r="19" spans="2:9" ht="18" customHeight="1" x14ac:dyDescent="0.35">
      <c r="B19" s="106" t="s">
        <v>286</v>
      </c>
      <c r="C19" s="106"/>
      <c r="D19" s="106"/>
      <c r="E19" s="106"/>
      <c r="F19" s="106"/>
      <c r="G19" s="106"/>
      <c r="H19" s="106"/>
      <c r="I19" s="106"/>
    </row>
  </sheetData>
  <mergeCells count="3">
    <mergeCell ref="B1:I1"/>
    <mergeCell ref="B2:I2"/>
    <mergeCell ref="B19:I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B1FA2"/>
  </sheetPr>
  <dimension ref="B1:H34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20" sqref="J20"/>
    </sheetView>
  </sheetViews>
  <sheetFormatPr defaultColWidth="8.6328125" defaultRowHeight="14.5" x14ac:dyDescent="0.35"/>
  <cols>
    <col min="1" max="1" width="3" customWidth="1"/>
    <col min="2" max="2" width="14" customWidth="1"/>
    <col min="3" max="3" width="26" customWidth="1"/>
    <col min="4" max="4" width="25.26953125" customWidth="1"/>
    <col min="5" max="6" width="16" customWidth="1"/>
    <col min="7" max="7" width="19.08984375" customWidth="1"/>
    <col min="8" max="8" width="18" customWidth="1"/>
    <col min="9" max="9" width="3" customWidth="1"/>
  </cols>
  <sheetData>
    <row r="1" spans="2:8" ht="31.5" customHeight="1" x14ac:dyDescent="0.35">
      <c r="B1" s="133" t="s">
        <v>287</v>
      </c>
      <c r="C1" s="133"/>
      <c r="D1" s="133"/>
      <c r="E1" s="133"/>
      <c r="F1" s="133"/>
      <c r="G1" s="133"/>
      <c r="H1" s="133"/>
    </row>
    <row r="2" spans="2:8" ht="18" customHeight="1" x14ac:dyDescent="0.35">
      <c r="B2" s="130" t="s">
        <v>288</v>
      </c>
      <c r="C2" s="130"/>
      <c r="D2" s="130"/>
      <c r="E2" s="130"/>
      <c r="F2" s="130"/>
      <c r="G2" s="130"/>
      <c r="H2" s="130"/>
    </row>
    <row r="3" spans="2:8" ht="7.5" customHeight="1" x14ac:dyDescent="0.35"/>
    <row r="4" spans="2:8" ht="25.5" customHeight="1" x14ac:dyDescent="0.35">
      <c r="B4" s="144" t="s">
        <v>289</v>
      </c>
      <c r="C4" s="144"/>
      <c r="D4" s="144"/>
      <c r="E4" s="144"/>
      <c r="F4" s="144"/>
      <c r="G4" s="144"/>
      <c r="H4" s="144"/>
    </row>
    <row r="5" spans="2:8" ht="33.75" customHeight="1" x14ac:dyDescent="0.35">
      <c r="B5" s="11" t="s">
        <v>290</v>
      </c>
      <c r="C5" s="11" t="s">
        <v>291</v>
      </c>
      <c r="D5" s="11" t="s">
        <v>292</v>
      </c>
      <c r="E5" s="11" t="s">
        <v>293</v>
      </c>
      <c r="F5" s="11" t="s">
        <v>294</v>
      </c>
      <c r="G5" s="11" t="s">
        <v>284</v>
      </c>
      <c r="H5" s="11" t="s">
        <v>43</v>
      </c>
    </row>
    <row r="6" spans="2:8" ht="21.75" customHeight="1" x14ac:dyDescent="0.35">
      <c r="B6" s="19" t="s">
        <v>60</v>
      </c>
      <c r="C6" s="20" t="s">
        <v>61</v>
      </c>
      <c r="D6" s="20" t="s">
        <v>295</v>
      </c>
      <c r="E6" s="263">
        <v>425000</v>
      </c>
      <c r="F6" s="19" t="s">
        <v>103</v>
      </c>
      <c r="G6" s="49" t="s">
        <v>50</v>
      </c>
      <c r="H6" s="20" t="s">
        <v>296</v>
      </c>
    </row>
    <row r="7" spans="2:8" ht="21.75" customHeight="1" x14ac:dyDescent="0.35">
      <c r="B7" s="19" t="s">
        <v>63</v>
      </c>
      <c r="C7" s="20" t="s">
        <v>64</v>
      </c>
      <c r="D7" s="20" t="s">
        <v>297</v>
      </c>
      <c r="E7" s="263">
        <v>240000</v>
      </c>
      <c r="F7" s="19" t="s">
        <v>298</v>
      </c>
      <c r="G7" s="49" t="s">
        <v>50</v>
      </c>
      <c r="H7" s="20"/>
    </row>
    <row r="8" spans="2:8" ht="19.5" customHeight="1" x14ac:dyDescent="0.35">
      <c r="B8" s="17"/>
      <c r="C8" s="17"/>
      <c r="D8" s="17"/>
      <c r="E8" s="169"/>
      <c r="F8" s="17"/>
      <c r="G8" s="17"/>
      <c r="H8" s="17"/>
    </row>
    <row r="9" spans="2:8" ht="19.5" customHeight="1" x14ac:dyDescent="0.35">
      <c r="B9" s="17"/>
      <c r="C9" s="17"/>
      <c r="D9" s="17"/>
      <c r="E9" s="169"/>
      <c r="F9" s="17"/>
      <c r="G9" s="17"/>
      <c r="H9" s="17"/>
    </row>
    <row r="10" spans="2:8" ht="19.5" customHeight="1" x14ac:dyDescent="0.35">
      <c r="B10" s="17"/>
      <c r="C10" s="17"/>
      <c r="D10" s="17"/>
      <c r="E10" s="169"/>
      <c r="F10" s="17"/>
      <c r="G10" s="17"/>
      <c r="H10" s="17"/>
    </row>
    <row r="11" spans="2:8" ht="19.5" customHeight="1" x14ac:dyDescent="0.35">
      <c r="B11" s="17"/>
      <c r="C11" s="17"/>
      <c r="D11" s="17"/>
      <c r="E11" s="169"/>
      <c r="F11" s="17"/>
      <c r="G11" s="17"/>
      <c r="H11" s="17"/>
    </row>
    <row r="12" spans="2:8" ht="19.5" customHeight="1" x14ac:dyDescent="0.35">
      <c r="B12" s="17"/>
      <c r="C12" s="17"/>
      <c r="D12" s="17"/>
      <c r="E12" s="169"/>
      <c r="F12" s="17"/>
      <c r="G12" s="17"/>
      <c r="H12" s="17"/>
    </row>
    <row r="13" spans="2:8" ht="19.5" customHeight="1" x14ac:dyDescent="0.35">
      <c r="B13" s="17"/>
      <c r="C13" s="17"/>
      <c r="D13" s="17"/>
      <c r="E13" s="169"/>
      <c r="F13" s="17"/>
      <c r="G13" s="17"/>
      <c r="H13" s="17"/>
    </row>
    <row r="14" spans="2:8" ht="19.5" customHeight="1" x14ac:dyDescent="0.35">
      <c r="B14" s="17"/>
      <c r="C14" s="17"/>
      <c r="D14" s="17"/>
      <c r="E14" s="169"/>
      <c r="F14" s="17"/>
      <c r="G14" s="17"/>
      <c r="H14" s="17"/>
    </row>
    <row r="15" spans="2:8" ht="19.5" customHeight="1" x14ac:dyDescent="0.35">
      <c r="B15" s="17"/>
      <c r="C15" s="17"/>
      <c r="D15" s="17"/>
      <c r="E15" s="169"/>
      <c r="F15" s="17"/>
      <c r="G15" s="17"/>
      <c r="H15" s="17"/>
    </row>
    <row r="16" spans="2:8" ht="19.5" customHeight="1" x14ac:dyDescent="0.35">
      <c r="B16" s="17"/>
      <c r="C16" s="17"/>
      <c r="D16" s="17"/>
      <c r="E16" s="169"/>
      <c r="F16" s="17"/>
      <c r="G16" s="17"/>
      <c r="H16" s="17"/>
    </row>
    <row r="17" spans="2:8" ht="19.5" customHeight="1" x14ac:dyDescent="0.35">
      <c r="B17" s="17"/>
      <c r="C17" s="17"/>
      <c r="D17" s="17"/>
      <c r="E17" s="169"/>
      <c r="F17" s="17"/>
      <c r="G17" s="17"/>
      <c r="H17" s="17"/>
    </row>
    <row r="18" spans="2:8" ht="24" customHeight="1" x14ac:dyDescent="0.35">
      <c r="B18" s="145" t="s">
        <v>299</v>
      </c>
      <c r="C18" s="145"/>
      <c r="D18" s="145"/>
      <c r="E18" s="264">
        <f>SUMIF(G6:G17,"*BELUM*",E6:E17)</f>
        <v>665000</v>
      </c>
      <c r="F18" s="24"/>
      <c r="G18" s="24"/>
      <c r="H18" s="24"/>
    </row>
    <row r="19" spans="2:8" ht="12" customHeight="1" x14ac:dyDescent="0.35"/>
    <row r="20" spans="2:8" ht="25.5" customHeight="1" x14ac:dyDescent="0.35">
      <c r="B20" s="146" t="s">
        <v>300</v>
      </c>
      <c r="C20" s="146"/>
      <c r="D20" s="146"/>
      <c r="E20" s="146"/>
      <c r="F20" s="146"/>
      <c r="G20" s="146"/>
      <c r="H20" s="146"/>
    </row>
    <row r="21" spans="2:8" ht="33.75" customHeight="1" x14ac:dyDescent="0.35">
      <c r="B21" s="18" t="s">
        <v>301</v>
      </c>
      <c r="C21" s="18" t="s">
        <v>302</v>
      </c>
      <c r="D21" s="18" t="s">
        <v>303</v>
      </c>
      <c r="E21" s="18" t="s">
        <v>304</v>
      </c>
      <c r="F21" s="18" t="s">
        <v>294</v>
      </c>
      <c r="G21" s="18" t="s">
        <v>284</v>
      </c>
      <c r="H21" s="18" t="s">
        <v>43</v>
      </c>
    </row>
    <row r="22" spans="2:8" ht="21.75" customHeight="1" x14ac:dyDescent="0.35">
      <c r="B22" s="19"/>
      <c r="C22" s="20"/>
      <c r="D22" s="20"/>
      <c r="E22" s="19"/>
      <c r="F22" s="19"/>
      <c r="G22" s="49"/>
      <c r="H22" s="20"/>
    </row>
    <row r="23" spans="2:8" ht="21.75" customHeight="1" x14ac:dyDescent="0.35">
      <c r="B23" s="19"/>
      <c r="C23" s="20"/>
      <c r="D23" s="20"/>
      <c r="E23" s="19"/>
      <c r="F23" s="19"/>
      <c r="G23" s="49"/>
      <c r="H23" s="20"/>
    </row>
    <row r="24" spans="2:8" ht="19.5" customHeight="1" x14ac:dyDescent="0.35">
      <c r="B24" s="17"/>
      <c r="C24" s="17"/>
      <c r="D24" s="17"/>
      <c r="E24" s="17"/>
      <c r="F24" s="17"/>
      <c r="G24" s="17"/>
      <c r="H24" s="17"/>
    </row>
    <row r="25" spans="2:8" ht="19.5" customHeight="1" x14ac:dyDescent="0.35">
      <c r="B25" s="17"/>
      <c r="C25" s="17"/>
      <c r="D25" s="17"/>
      <c r="E25" s="17"/>
      <c r="F25" s="17"/>
      <c r="G25" s="17"/>
      <c r="H25" s="17"/>
    </row>
    <row r="26" spans="2:8" ht="19.5" customHeight="1" x14ac:dyDescent="0.35">
      <c r="B26" s="17"/>
      <c r="C26" s="17"/>
      <c r="D26" s="17"/>
      <c r="E26" s="17"/>
      <c r="F26" s="17"/>
      <c r="G26" s="17"/>
      <c r="H26" s="17"/>
    </row>
    <row r="27" spans="2:8" ht="19.5" customHeight="1" x14ac:dyDescent="0.35">
      <c r="B27" s="17"/>
      <c r="C27" s="17"/>
      <c r="D27" s="17"/>
      <c r="E27" s="17"/>
      <c r="F27" s="17"/>
      <c r="G27" s="17"/>
      <c r="H27" s="17"/>
    </row>
    <row r="28" spans="2:8" ht="19.5" customHeight="1" x14ac:dyDescent="0.35">
      <c r="B28" s="17"/>
      <c r="C28" s="17"/>
      <c r="D28" s="17"/>
      <c r="E28" s="17"/>
      <c r="F28" s="17"/>
      <c r="G28" s="17"/>
      <c r="H28" s="17"/>
    </row>
    <row r="29" spans="2:8" ht="19.5" customHeight="1" x14ac:dyDescent="0.35">
      <c r="B29" s="17"/>
      <c r="C29" s="17"/>
      <c r="D29" s="17"/>
      <c r="E29" s="17"/>
      <c r="F29" s="17"/>
      <c r="G29" s="17"/>
      <c r="H29" s="17"/>
    </row>
    <row r="30" spans="2:8" ht="19.5" customHeight="1" x14ac:dyDescent="0.35">
      <c r="B30" s="17"/>
      <c r="C30" s="17"/>
      <c r="D30" s="17"/>
      <c r="E30" s="17"/>
      <c r="F30" s="17"/>
      <c r="G30" s="17"/>
      <c r="H30" s="17"/>
    </row>
    <row r="31" spans="2:8" ht="19.5" customHeight="1" x14ac:dyDescent="0.35">
      <c r="B31" s="17"/>
      <c r="C31" s="17"/>
      <c r="D31" s="17"/>
      <c r="E31" s="17"/>
      <c r="F31" s="17"/>
      <c r="G31" s="17"/>
      <c r="H31" s="17"/>
    </row>
    <row r="32" spans="2:8" ht="19.5" customHeight="1" x14ac:dyDescent="0.35">
      <c r="B32" s="17"/>
      <c r="C32" s="17"/>
      <c r="D32" s="17"/>
      <c r="E32" s="17"/>
      <c r="F32" s="17"/>
      <c r="G32" s="17"/>
      <c r="H32" s="17"/>
    </row>
    <row r="33" spans="2:8" ht="19.5" customHeight="1" x14ac:dyDescent="0.35">
      <c r="B33" s="17"/>
      <c r="C33" s="17"/>
      <c r="D33" s="17"/>
      <c r="E33" s="17"/>
      <c r="F33" s="17"/>
      <c r="G33" s="17"/>
      <c r="H33" s="17"/>
    </row>
    <row r="34" spans="2:8" ht="24" customHeight="1" x14ac:dyDescent="0.35">
      <c r="B34" s="143" t="s">
        <v>305</v>
      </c>
      <c r="C34" s="143"/>
      <c r="D34" s="143"/>
      <c r="E34" s="50">
        <f>SUMIF(G22:G33,"*BELUM*",E22:E33)</f>
        <v>0</v>
      </c>
      <c r="F34" s="25"/>
      <c r="G34" s="25"/>
      <c r="H34" s="25"/>
    </row>
  </sheetData>
  <mergeCells count="6">
    <mergeCell ref="B34:D34"/>
    <mergeCell ref="B1:H1"/>
    <mergeCell ref="B2:H2"/>
    <mergeCell ref="B4:H4"/>
    <mergeCell ref="B18:D18"/>
    <mergeCell ref="B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4ACC-81AA-41F3-8B83-0E98D127304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91E8C"/>
  </sheetPr>
  <dimension ref="B1:H3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3" customWidth="1"/>
    <col min="2" max="2" width="26" customWidth="1"/>
    <col min="3" max="3" width="18" customWidth="1"/>
    <col min="4" max="7" width="16" customWidth="1"/>
    <col min="8" max="8" width="18" customWidth="1"/>
    <col min="9" max="9" width="3" customWidth="1"/>
  </cols>
  <sheetData>
    <row r="1" spans="2:8" ht="31.5" customHeight="1" x14ac:dyDescent="0.35">
      <c r="B1" s="110" t="s">
        <v>306</v>
      </c>
      <c r="C1" s="110"/>
      <c r="D1" s="110"/>
      <c r="E1" s="110"/>
      <c r="F1" s="110"/>
      <c r="G1" s="110"/>
      <c r="H1" s="110"/>
    </row>
    <row r="2" spans="2:8" ht="18" customHeight="1" x14ac:dyDescent="0.35">
      <c r="B2" s="142" t="s">
        <v>307</v>
      </c>
      <c r="C2" s="142"/>
      <c r="D2" s="142"/>
      <c r="E2" s="142"/>
      <c r="F2" s="142"/>
      <c r="G2" s="142"/>
      <c r="H2" s="142"/>
    </row>
    <row r="3" spans="2:8" ht="7.5" customHeight="1" x14ac:dyDescent="0.35"/>
    <row r="4" spans="2:8" ht="25.5" customHeight="1" x14ac:dyDescent="0.35">
      <c r="B4" s="144" t="s">
        <v>308</v>
      </c>
      <c r="C4" s="144"/>
      <c r="D4" s="144"/>
      <c r="E4" s="144"/>
      <c r="F4" s="144"/>
      <c r="G4" s="144"/>
      <c r="H4" s="144"/>
    </row>
    <row r="5" spans="2:8" ht="33.75" customHeight="1" x14ac:dyDescent="0.35">
      <c r="B5" s="11" t="s">
        <v>309</v>
      </c>
      <c r="C5" s="11" t="s">
        <v>310</v>
      </c>
      <c r="D5" s="11" t="s">
        <v>311</v>
      </c>
      <c r="E5" s="11" t="s">
        <v>312</v>
      </c>
      <c r="F5" s="11" t="s">
        <v>313</v>
      </c>
      <c r="G5" s="11" t="s">
        <v>314</v>
      </c>
      <c r="H5" s="11" t="s">
        <v>315</v>
      </c>
    </row>
    <row r="6" spans="2:8" ht="21.75" customHeight="1" x14ac:dyDescent="0.35">
      <c r="B6" s="51" t="s">
        <v>46</v>
      </c>
      <c r="C6" s="52" t="s">
        <v>316</v>
      </c>
      <c r="D6" s="53">
        <v>28000</v>
      </c>
      <c r="E6" s="53" t="s">
        <v>317</v>
      </c>
      <c r="F6" s="53" t="s">
        <v>318</v>
      </c>
      <c r="G6" s="5" t="s">
        <v>319</v>
      </c>
      <c r="H6" s="53" t="s">
        <v>320</v>
      </c>
    </row>
    <row r="7" spans="2:8" ht="21.75" customHeight="1" x14ac:dyDescent="0.35">
      <c r="B7" s="54" t="s">
        <v>321</v>
      </c>
      <c r="C7" s="55" t="s">
        <v>322</v>
      </c>
      <c r="D7" s="56">
        <v>35000</v>
      </c>
      <c r="E7" s="56" t="s">
        <v>317</v>
      </c>
      <c r="F7" s="56" t="s">
        <v>318</v>
      </c>
      <c r="G7" s="57" t="s">
        <v>323</v>
      </c>
      <c r="H7" s="56" t="s">
        <v>324</v>
      </c>
    </row>
    <row r="8" spans="2:8" ht="21.75" customHeight="1" x14ac:dyDescent="0.35">
      <c r="B8" s="51" t="s">
        <v>325</v>
      </c>
      <c r="C8" s="52" t="s">
        <v>326</v>
      </c>
      <c r="D8" s="53">
        <v>25000</v>
      </c>
      <c r="E8" s="53" t="s">
        <v>327</v>
      </c>
      <c r="F8" s="53" t="s">
        <v>318</v>
      </c>
      <c r="G8" s="5" t="s">
        <v>328</v>
      </c>
      <c r="H8" s="53" t="s">
        <v>324</v>
      </c>
    </row>
    <row r="9" spans="2:8" ht="21.75" customHeight="1" x14ac:dyDescent="0.35">
      <c r="B9" s="54" t="s">
        <v>49</v>
      </c>
      <c r="C9" s="55" t="s">
        <v>329</v>
      </c>
      <c r="D9" s="56">
        <v>350000</v>
      </c>
      <c r="E9" s="56" t="s">
        <v>330</v>
      </c>
      <c r="F9" s="56" t="s">
        <v>318</v>
      </c>
      <c r="G9" s="57" t="s">
        <v>323</v>
      </c>
      <c r="H9" s="56" t="s">
        <v>324</v>
      </c>
    </row>
    <row r="10" spans="2:8" ht="21.75" customHeight="1" x14ac:dyDescent="0.35">
      <c r="B10" s="51" t="s">
        <v>331</v>
      </c>
      <c r="C10" s="52" t="s">
        <v>332</v>
      </c>
      <c r="D10" s="53">
        <v>650000</v>
      </c>
      <c r="E10" s="53" t="s">
        <v>330</v>
      </c>
      <c r="F10" s="53" t="s">
        <v>318</v>
      </c>
      <c r="G10" s="5" t="s">
        <v>333</v>
      </c>
      <c r="H10" s="53" t="s">
        <v>334</v>
      </c>
    </row>
    <row r="11" spans="2:8" ht="21.75" customHeight="1" x14ac:dyDescent="0.35">
      <c r="B11" s="54" t="s">
        <v>56</v>
      </c>
      <c r="C11" s="55" t="s">
        <v>335</v>
      </c>
      <c r="D11" s="56">
        <v>15000</v>
      </c>
      <c r="E11" s="56" t="s">
        <v>336</v>
      </c>
      <c r="F11" s="56" t="s">
        <v>318</v>
      </c>
      <c r="G11" s="57" t="s">
        <v>319</v>
      </c>
      <c r="H11" s="56" t="s">
        <v>320</v>
      </c>
    </row>
    <row r="12" spans="2:8" ht="12" customHeight="1" x14ac:dyDescent="0.35"/>
    <row r="13" spans="2:8" ht="25.5" customHeight="1" x14ac:dyDescent="0.35">
      <c r="B13" s="148" t="s">
        <v>337</v>
      </c>
      <c r="C13" s="148"/>
      <c r="D13" s="148"/>
      <c r="E13" s="148"/>
      <c r="F13" s="148"/>
      <c r="G13" s="148"/>
      <c r="H13" s="148"/>
    </row>
    <row r="14" spans="2:8" ht="33.75" customHeight="1" x14ac:dyDescent="0.35">
      <c r="B14" s="9" t="s">
        <v>309</v>
      </c>
      <c r="C14" s="9" t="s">
        <v>310</v>
      </c>
      <c r="D14" s="9" t="s">
        <v>311</v>
      </c>
      <c r="E14" s="9" t="s">
        <v>132</v>
      </c>
      <c r="F14" s="9" t="s">
        <v>313</v>
      </c>
      <c r="G14" s="9" t="s">
        <v>314</v>
      </c>
      <c r="H14" s="9" t="s">
        <v>315</v>
      </c>
    </row>
    <row r="15" spans="2:8" ht="21.75" customHeight="1" x14ac:dyDescent="0.35">
      <c r="B15" s="54" t="s">
        <v>53</v>
      </c>
      <c r="C15" s="55" t="s">
        <v>338</v>
      </c>
      <c r="D15" s="56">
        <v>180000</v>
      </c>
      <c r="E15" s="56" t="s">
        <v>339</v>
      </c>
      <c r="F15" s="56" t="s">
        <v>318</v>
      </c>
      <c r="G15" s="57" t="s">
        <v>323</v>
      </c>
      <c r="H15" s="56" t="s">
        <v>324</v>
      </c>
    </row>
    <row r="16" spans="2:8" ht="21.75" customHeight="1" x14ac:dyDescent="0.35">
      <c r="B16" s="58" t="s">
        <v>340</v>
      </c>
      <c r="C16" s="59" t="s">
        <v>341</v>
      </c>
      <c r="D16" s="60">
        <v>65000</v>
      </c>
      <c r="E16" s="60" t="s">
        <v>339</v>
      </c>
      <c r="F16" s="60" t="s">
        <v>318</v>
      </c>
      <c r="G16" s="8" t="s">
        <v>319</v>
      </c>
      <c r="H16" s="60" t="s">
        <v>320</v>
      </c>
    </row>
    <row r="17" spans="2:8" ht="21.75" customHeight="1" x14ac:dyDescent="0.35">
      <c r="B17" s="54" t="s">
        <v>65</v>
      </c>
      <c r="C17" s="55" t="s">
        <v>342</v>
      </c>
      <c r="D17" s="56">
        <v>12000</v>
      </c>
      <c r="E17" s="56" t="s">
        <v>343</v>
      </c>
      <c r="F17" s="56" t="s">
        <v>318</v>
      </c>
      <c r="G17" s="57" t="s">
        <v>319</v>
      </c>
      <c r="H17" s="56" t="s">
        <v>320</v>
      </c>
    </row>
    <row r="18" spans="2:8" ht="21.75" customHeight="1" x14ac:dyDescent="0.35">
      <c r="B18" s="58" t="s">
        <v>62</v>
      </c>
      <c r="C18" s="59" t="s">
        <v>344</v>
      </c>
      <c r="D18" s="60">
        <v>85000</v>
      </c>
      <c r="E18" s="60" t="s">
        <v>345</v>
      </c>
      <c r="F18" s="60" t="s">
        <v>318</v>
      </c>
      <c r="G18" s="8" t="s">
        <v>346</v>
      </c>
      <c r="H18" s="60" t="s">
        <v>334</v>
      </c>
    </row>
    <row r="19" spans="2:8" ht="21.75" customHeight="1" x14ac:dyDescent="0.35">
      <c r="B19" s="54" t="s">
        <v>347</v>
      </c>
      <c r="C19" s="55" t="s">
        <v>348</v>
      </c>
      <c r="D19" s="56">
        <v>3500</v>
      </c>
      <c r="E19" s="56" t="s">
        <v>349</v>
      </c>
      <c r="F19" s="56" t="s">
        <v>318</v>
      </c>
      <c r="G19" s="57" t="s">
        <v>319</v>
      </c>
      <c r="H19" s="56" t="s">
        <v>320</v>
      </c>
    </row>
    <row r="20" spans="2:8" ht="21.75" customHeight="1" x14ac:dyDescent="0.35">
      <c r="B20" s="58" t="s">
        <v>350</v>
      </c>
      <c r="C20" s="59" t="s">
        <v>351</v>
      </c>
      <c r="D20" s="60">
        <v>75000</v>
      </c>
      <c r="E20" s="60" t="s">
        <v>339</v>
      </c>
      <c r="F20" s="60" t="s">
        <v>318</v>
      </c>
      <c r="G20" s="8" t="s">
        <v>319</v>
      </c>
      <c r="H20" s="60" t="s">
        <v>320</v>
      </c>
    </row>
    <row r="21" spans="2:8" ht="21.75" customHeight="1" x14ac:dyDescent="0.35">
      <c r="B21" s="54" t="s">
        <v>352</v>
      </c>
      <c r="C21" s="55" t="s">
        <v>353</v>
      </c>
      <c r="D21" s="56">
        <v>4500</v>
      </c>
      <c r="E21" s="56" t="s">
        <v>349</v>
      </c>
      <c r="F21" s="56" t="s">
        <v>318</v>
      </c>
      <c r="G21" s="57" t="s">
        <v>319</v>
      </c>
      <c r="H21" s="56" t="s">
        <v>320</v>
      </c>
    </row>
    <row r="22" spans="2:8" ht="12" customHeight="1" x14ac:dyDescent="0.35"/>
    <row r="23" spans="2:8" ht="25.5" customHeight="1" x14ac:dyDescent="0.35">
      <c r="B23" s="149" t="s">
        <v>354</v>
      </c>
      <c r="C23" s="149"/>
      <c r="D23" s="149"/>
      <c r="E23" s="149"/>
      <c r="F23" s="149"/>
      <c r="G23" s="149"/>
      <c r="H23" s="149"/>
    </row>
    <row r="24" spans="2:8" ht="33.75" customHeight="1" x14ac:dyDescent="0.35">
      <c r="B24" s="37" t="s">
        <v>309</v>
      </c>
      <c r="C24" s="37" t="s">
        <v>310</v>
      </c>
      <c r="D24" s="37" t="s">
        <v>311</v>
      </c>
      <c r="E24" s="37" t="s">
        <v>132</v>
      </c>
      <c r="F24" s="37" t="s">
        <v>313</v>
      </c>
      <c r="G24" s="37" t="s">
        <v>314</v>
      </c>
      <c r="H24" s="37" t="s">
        <v>315</v>
      </c>
    </row>
    <row r="25" spans="2:8" ht="21.75" customHeight="1" x14ac:dyDescent="0.35">
      <c r="B25" s="54" t="s">
        <v>355</v>
      </c>
      <c r="C25" s="57" t="s">
        <v>356</v>
      </c>
      <c r="D25" s="56">
        <v>5000</v>
      </c>
      <c r="E25" s="56" t="s">
        <v>357</v>
      </c>
      <c r="F25" s="56" t="s">
        <v>318</v>
      </c>
      <c r="G25" s="57" t="s">
        <v>319</v>
      </c>
      <c r="H25" s="56" t="s">
        <v>320</v>
      </c>
    </row>
    <row r="26" spans="2:8" ht="21.75" customHeight="1" x14ac:dyDescent="0.35">
      <c r="B26" s="61" t="s">
        <v>358</v>
      </c>
      <c r="C26" s="62" t="s">
        <v>359</v>
      </c>
      <c r="D26" s="63">
        <v>7000</v>
      </c>
      <c r="E26" s="63" t="s">
        <v>357</v>
      </c>
      <c r="F26" s="63" t="s">
        <v>318</v>
      </c>
      <c r="G26" s="62" t="s">
        <v>319</v>
      </c>
      <c r="H26" s="63" t="s">
        <v>320</v>
      </c>
    </row>
    <row r="27" spans="2:8" ht="21.75" customHeight="1" x14ac:dyDescent="0.35">
      <c r="B27" s="54" t="s">
        <v>360</v>
      </c>
      <c r="C27" s="57" t="s">
        <v>361</v>
      </c>
      <c r="D27" s="56">
        <v>12000</v>
      </c>
      <c r="E27" s="56" t="s">
        <v>357</v>
      </c>
      <c r="F27" s="56" t="s">
        <v>318</v>
      </c>
      <c r="G27" s="57" t="s">
        <v>319</v>
      </c>
      <c r="H27" s="56" t="s">
        <v>320</v>
      </c>
    </row>
    <row r="29" spans="2:8" ht="12" customHeight="1" x14ac:dyDescent="0.35"/>
    <row r="30" spans="2:8" ht="18" customHeight="1" x14ac:dyDescent="0.35">
      <c r="B30" s="147" t="s">
        <v>362</v>
      </c>
      <c r="C30" s="147"/>
      <c r="D30" s="147"/>
      <c r="E30" s="147"/>
      <c r="F30" s="147"/>
      <c r="G30" s="147"/>
      <c r="H30" s="147"/>
    </row>
  </sheetData>
  <mergeCells count="6">
    <mergeCell ref="B30:H30"/>
    <mergeCell ref="B1:H1"/>
    <mergeCell ref="B2:H2"/>
    <mergeCell ref="B4:H4"/>
    <mergeCell ref="B13:H13"/>
    <mergeCell ref="B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57F17"/>
  </sheetPr>
  <dimension ref="B1:D34"/>
  <sheetViews>
    <sheetView showGridLines="0" topLeftCell="A5" zoomScaleNormal="100" workbookViewId="0"/>
  </sheetViews>
  <sheetFormatPr defaultColWidth="8.6328125" defaultRowHeight="14.5" x14ac:dyDescent="0.35"/>
  <cols>
    <col min="1" max="1" width="3" customWidth="1"/>
    <col min="2" max="2" width="32" customWidth="1"/>
    <col min="3" max="4" width="22" customWidth="1"/>
    <col min="5" max="5" width="5" customWidth="1"/>
  </cols>
  <sheetData>
    <row r="1" spans="2:4" ht="31.5" customHeight="1" x14ac:dyDescent="0.35">
      <c r="B1" s="154" t="s">
        <v>363</v>
      </c>
      <c r="C1" s="154"/>
      <c r="D1" s="154"/>
    </row>
    <row r="2" spans="2:4" ht="18" customHeight="1" x14ac:dyDescent="0.35">
      <c r="B2" s="155" t="s">
        <v>364</v>
      </c>
      <c r="C2" s="155"/>
      <c r="D2" s="155"/>
    </row>
    <row r="3" spans="2:4" ht="7.5" customHeight="1" x14ac:dyDescent="0.35"/>
    <row r="4" spans="2:4" ht="21.75" customHeight="1" x14ac:dyDescent="0.35">
      <c r="B4" s="156" t="s">
        <v>365</v>
      </c>
      <c r="C4" s="156"/>
      <c r="D4" s="156"/>
    </row>
    <row r="5" spans="2:4" ht="7.5" customHeight="1" x14ac:dyDescent="0.35"/>
    <row r="6" spans="2:4" ht="25.5" customHeight="1" x14ac:dyDescent="0.35">
      <c r="B6" s="148" t="s">
        <v>366</v>
      </c>
      <c r="C6" s="148"/>
      <c r="D6" s="148"/>
    </row>
    <row r="7" spans="2:4" ht="24" customHeight="1" x14ac:dyDescent="0.35">
      <c r="B7" s="64" t="s">
        <v>367</v>
      </c>
      <c r="C7" s="157" t="s">
        <v>46</v>
      </c>
      <c r="D7" s="157"/>
    </row>
    <row r="8" spans="2:4" ht="9.75" customHeight="1" x14ac:dyDescent="0.35"/>
    <row r="9" spans="2:4" ht="24" customHeight="1" x14ac:dyDescent="0.35">
      <c r="B9" s="150" t="s">
        <v>368</v>
      </c>
      <c r="C9" s="150"/>
      <c r="D9" s="150"/>
    </row>
    <row r="10" spans="2:4" ht="21.75" customHeight="1" x14ac:dyDescent="0.35">
      <c r="B10" s="64" t="s">
        <v>369</v>
      </c>
      <c r="C10" s="65">
        <v>10000</v>
      </c>
      <c r="D10" s="15"/>
    </row>
    <row r="11" spans="2:4" ht="21.75" customHeight="1" x14ac:dyDescent="0.35">
      <c r="B11" s="64" t="s">
        <v>370</v>
      </c>
      <c r="C11" s="65">
        <v>3000</v>
      </c>
      <c r="D11" s="15"/>
    </row>
    <row r="12" spans="2:4" ht="21.75" customHeight="1" x14ac:dyDescent="0.35">
      <c r="B12" s="64" t="s">
        <v>371</v>
      </c>
      <c r="C12" s="65">
        <v>1500</v>
      </c>
      <c r="D12" s="15"/>
    </row>
    <row r="13" spans="2:4" ht="21.75" customHeight="1" x14ac:dyDescent="0.35">
      <c r="B13" s="64" t="s">
        <v>372</v>
      </c>
      <c r="C13" s="65">
        <v>2000</v>
      </c>
      <c r="D13" s="15"/>
    </row>
    <row r="14" spans="2:4" ht="21.75" customHeight="1" x14ac:dyDescent="0.35">
      <c r="B14" s="64" t="s">
        <v>373</v>
      </c>
      <c r="C14" s="65">
        <v>2000</v>
      </c>
      <c r="D14" s="15"/>
    </row>
    <row r="15" spans="2:4" ht="21.75" customHeight="1" x14ac:dyDescent="0.35">
      <c r="B15" s="64" t="s">
        <v>374</v>
      </c>
      <c r="C15" s="65">
        <v>0</v>
      </c>
      <c r="D15" s="15"/>
    </row>
    <row r="16" spans="2:4" ht="24" customHeight="1" x14ac:dyDescent="0.35">
      <c r="B16" s="66" t="s">
        <v>375</v>
      </c>
      <c r="C16" s="50">
        <f>SUM(C10:C15)</f>
        <v>18500</v>
      </c>
      <c r="D16" s="21"/>
    </row>
    <row r="17" spans="2:4" ht="9.75" customHeight="1" x14ac:dyDescent="0.35"/>
    <row r="18" spans="2:4" ht="24" customHeight="1" x14ac:dyDescent="0.35">
      <c r="B18" s="151" t="s">
        <v>376</v>
      </c>
      <c r="C18" s="151"/>
      <c r="D18" s="151"/>
    </row>
    <row r="19" spans="2:4" ht="21.75" customHeight="1" x14ac:dyDescent="0.35">
      <c r="B19" s="64" t="s">
        <v>377</v>
      </c>
      <c r="C19" s="65">
        <v>500</v>
      </c>
      <c r="D19" s="15"/>
    </row>
    <row r="20" spans="2:4" ht="21.75" customHeight="1" x14ac:dyDescent="0.35">
      <c r="B20" s="64" t="s">
        <v>378</v>
      </c>
      <c r="C20" s="65">
        <v>0</v>
      </c>
      <c r="D20" s="15"/>
    </row>
    <row r="21" spans="2:4" ht="21.75" customHeight="1" x14ac:dyDescent="0.35">
      <c r="B21" s="64" t="s">
        <v>379</v>
      </c>
      <c r="C21" s="65">
        <v>1000</v>
      </c>
      <c r="D21" s="15"/>
    </row>
    <row r="22" spans="2:4" ht="24" customHeight="1" x14ac:dyDescent="0.35">
      <c r="B22" s="67" t="s">
        <v>380</v>
      </c>
      <c r="C22" s="68">
        <f>SUM(C19:C21)</f>
        <v>1500</v>
      </c>
      <c r="D22" s="23"/>
    </row>
    <row r="23" spans="2:4" ht="9.75" customHeight="1" x14ac:dyDescent="0.35"/>
    <row r="24" spans="2:4" ht="27.75" customHeight="1" x14ac:dyDescent="0.35">
      <c r="B24" s="69" t="s">
        <v>381</v>
      </c>
      <c r="C24" s="70">
        <f>C16+C22</f>
        <v>20000</v>
      </c>
      <c r="D24" s="71"/>
    </row>
    <row r="25" spans="2:4" ht="9.75" customHeight="1" x14ac:dyDescent="0.35"/>
    <row r="26" spans="2:4" ht="24" customHeight="1" x14ac:dyDescent="0.35">
      <c r="B26" s="152" t="s">
        <v>382</v>
      </c>
      <c r="C26" s="152"/>
      <c r="D26" s="152"/>
    </row>
    <row r="27" spans="2:4" ht="21.75" customHeight="1" x14ac:dyDescent="0.35">
      <c r="B27" s="8" t="s">
        <v>383</v>
      </c>
      <c r="C27" s="72">
        <v>0.35</v>
      </c>
      <c r="D27" s="73" t="s">
        <v>384</v>
      </c>
    </row>
    <row r="28" spans="2:4" ht="9.75" customHeight="1" x14ac:dyDescent="0.35"/>
    <row r="29" spans="2:4" ht="30" customHeight="1" x14ac:dyDescent="0.35">
      <c r="B29" s="153" t="s">
        <v>385</v>
      </c>
      <c r="C29" s="153"/>
      <c r="D29" s="153"/>
    </row>
    <row r="30" spans="2:4" ht="25.5" customHeight="1" x14ac:dyDescent="0.35">
      <c r="B30" s="74" t="s">
        <v>386</v>
      </c>
      <c r="C30" s="75">
        <f>CEILING(C24*(1+C27),500)</f>
        <v>27000</v>
      </c>
      <c r="D30" s="73" t="s">
        <v>387</v>
      </c>
    </row>
    <row r="31" spans="2:4" ht="25.5" customHeight="1" x14ac:dyDescent="0.35">
      <c r="B31" s="76" t="s">
        <v>388</v>
      </c>
      <c r="C31" s="77">
        <f>CEILING(C24*(1+C27)*1.05,500)</f>
        <v>28500</v>
      </c>
      <c r="D31" s="73" t="s">
        <v>389</v>
      </c>
    </row>
    <row r="32" spans="2:4" ht="25.5" customHeight="1" x14ac:dyDescent="0.35">
      <c r="B32" s="78" t="s">
        <v>390</v>
      </c>
      <c r="C32" s="79">
        <f>C30-C24</f>
        <v>7000</v>
      </c>
      <c r="D32" s="73" t="s">
        <v>391</v>
      </c>
    </row>
    <row r="33" spans="2:4" ht="25.5" customHeight="1" x14ac:dyDescent="0.35">
      <c r="B33" s="80" t="s">
        <v>392</v>
      </c>
      <c r="C33" s="81">
        <f>C32*50</f>
        <v>350000</v>
      </c>
      <c r="D33" s="73" t="s">
        <v>393</v>
      </c>
    </row>
    <row r="34" spans="2:4" ht="25.5" customHeight="1" x14ac:dyDescent="0.35">
      <c r="B34" s="80" t="s">
        <v>394</v>
      </c>
      <c r="C34" s="81">
        <f>C32*100</f>
        <v>700000</v>
      </c>
      <c r="D34" s="73" t="s">
        <v>395</v>
      </c>
    </row>
  </sheetData>
  <mergeCells count="9">
    <mergeCell ref="B9:D9"/>
    <mergeCell ref="B18:D18"/>
    <mergeCell ref="B26:D26"/>
    <mergeCell ref="B29:D29"/>
    <mergeCell ref="B1:D1"/>
    <mergeCell ref="B2:D2"/>
    <mergeCell ref="B4:D4"/>
    <mergeCell ref="B6:D6"/>
    <mergeCell ref="C7:D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14</vt:i4>
      </vt:variant>
    </vt:vector>
  </HeadingPairs>
  <TitlesOfParts>
    <vt:vector size="14" baseType="lpstr">
      <vt:lpstr>🏠 BERANDA</vt:lpstr>
      <vt:lpstr>📦 Pesanan</vt:lpstr>
      <vt:lpstr>🛒 Belanja Bahan</vt:lpstr>
      <vt:lpstr>💸 Biaya Lain</vt:lpstr>
      <vt:lpstr>💰 Laporan</vt:lpstr>
      <vt:lpstr>🍱 HPP Per Menu</vt:lpstr>
      <vt:lpstr>📊 Grafik</vt:lpstr>
      <vt:lpstr>📒 Jurnal Umum</vt:lpstr>
      <vt:lpstr>📋 Laporan Keuangan</vt:lpstr>
      <vt:lpstr>📅 Rekap Bulanan</vt:lpstr>
      <vt:lpstr>💳 Hutang &amp; Piutang</vt:lpstr>
      <vt:lpstr>Lembar1</vt:lpstr>
      <vt:lpstr>🍽️ Daftar Menu</vt:lpstr>
      <vt:lpstr>🧮 Kalkulator Harga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FARIANI ID</cp:lastModifiedBy>
  <cp:revision>5</cp:revision>
  <dcterms:created xsi:type="dcterms:W3CDTF">2026-06-23T20:06:37Z</dcterms:created>
  <dcterms:modified xsi:type="dcterms:W3CDTF">2026-06-28T09:19:09Z</dcterms:modified>
  <dc:language>en-US</dc:language>
</cp:coreProperties>
</file>